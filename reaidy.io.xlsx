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vas\Downloads\"/>
    </mc:Choice>
  </mc:AlternateContent>
  <xr:revisionPtr revIDLastSave="0" documentId="13_ncr:1_{1A4771E5-73E6-435B-8B1B-C98E0C71C610}" xr6:coauthVersionLast="47" xr6:coauthVersionMax="47" xr10:uidLastSave="{00000000-0000-0000-0000-000000000000}"/>
  <bookViews>
    <workbookView xWindow="-110" yWindow="-110" windowWidth="19420" windowHeight="11500" activeTab="1" xr2:uid="{FB0C6CA8-1746-4813-90FD-64D9332A6922}"/>
  </bookViews>
  <sheets>
    <sheet name="Sheet8" sheetId="9" r:id="rId1"/>
    <sheet name="financials" sheetId="2" r:id="rId2"/>
    <sheet name="Sheet5" sheetId="6" r:id="rId3"/>
  </sheets>
  <definedNames>
    <definedName name="_xlcn.WorksheetConnection_reaidy.io.xlsxfinancials" hidden="1">financials[]</definedName>
    <definedName name="ExternalData_1" localSheetId="1" hidden="1">financials!$A$1:$J$701</definedName>
  </definedNames>
  <calcPr calcId="191029"/>
  <pivotCaches>
    <pivotCache cacheId="11" r:id="rId4"/>
    <pivotCache cacheId="2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reaidy.io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M2" i="2"/>
  <c r="N2" i="2" s="1"/>
  <c r="M3" i="2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M67" i="2"/>
  <c r="M68" i="2"/>
  <c r="M69" i="2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M91" i="2"/>
  <c r="M92" i="2"/>
  <c r="M93" i="2"/>
  <c r="M94" i="2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2" i="2"/>
  <c r="N242" i="2" s="1"/>
  <c r="M243" i="2"/>
  <c r="N243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M279" i="2"/>
  <c r="N279" i="2" s="1"/>
  <c r="M280" i="2"/>
  <c r="N280" i="2" s="1"/>
  <c r="M281" i="2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M312" i="2"/>
  <c r="M313" i="2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M330" i="2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M343" i="2"/>
  <c r="N343" i="2" s="1"/>
  <c r="M344" i="2"/>
  <c r="N344" i="2" s="1"/>
  <c r="M345" i="2"/>
  <c r="M346" i="2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M378" i="2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M455" i="2"/>
  <c r="M456" i="2"/>
  <c r="N456" i="2" s="1"/>
  <c r="M457" i="2"/>
  <c r="N457" i="2" s="1"/>
  <c r="M458" i="2"/>
  <c r="N458" i="2" s="1"/>
  <c r="M459" i="2"/>
  <c r="M460" i="2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M506" i="2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M543" i="2"/>
  <c r="N543" i="2" s="1"/>
  <c r="M544" i="2"/>
  <c r="N544" i="2" s="1"/>
  <c r="M545" i="2"/>
  <c r="N545" i="2" s="1"/>
  <c r="M546" i="2"/>
  <c r="M547" i="2"/>
  <c r="M548" i="2"/>
  <c r="M549" i="2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M586" i="2"/>
  <c r="M587" i="2"/>
  <c r="M588" i="2"/>
  <c r="M589" i="2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M650" i="2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M666" i="2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M676" i="2"/>
  <c r="N676" i="2" s="1"/>
  <c r="M677" i="2"/>
  <c r="N677" i="2" s="1"/>
  <c r="M678" i="2"/>
  <c r="N678" i="2" s="1"/>
  <c r="M679" i="2"/>
  <c r="N679" i="2" s="1"/>
  <c r="M680" i="2"/>
  <c r="N680" i="2" s="1"/>
  <c r="M681" i="2"/>
  <c r="M682" i="2"/>
  <c r="M683" i="2"/>
  <c r="N683" i="2" s="1"/>
  <c r="M684" i="2"/>
  <c r="N684" i="2" s="1"/>
  <c r="M685" i="2"/>
  <c r="N685" i="2" s="1"/>
  <c r="M686" i="2"/>
  <c r="N686" i="2" s="1"/>
  <c r="M687" i="2"/>
  <c r="N687" i="2" s="1"/>
  <c r="M688" i="2"/>
  <c r="N688" i="2" s="1"/>
  <c r="M689" i="2"/>
  <c r="N689" i="2" s="1"/>
  <c r="M690" i="2"/>
  <c r="N690" i="2" s="1"/>
  <c r="M691" i="2"/>
  <c r="N691" i="2" s="1"/>
  <c r="M692" i="2"/>
  <c r="N692" i="2" s="1"/>
  <c r="M693" i="2"/>
  <c r="N693" i="2" s="1"/>
  <c r="M694" i="2"/>
  <c r="N694" i="2" s="1"/>
  <c r="M695" i="2"/>
  <c r="N695" i="2" s="1"/>
  <c r="M696" i="2"/>
  <c r="N696" i="2" s="1"/>
  <c r="M697" i="2"/>
  <c r="N697" i="2" s="1"/>
  <c r="M698" i="2"/>
  <c r="N698" i="2" s="1"/>
  <c r="M699" i="2"/>
  <c r="N699" i="2" s="1"/>
  <c r="M700" i="2"/>
  <c r="N700" i="2" s="1"/>
  <c r="M701" i="2"/>
  <c r="N701" i="2" s="1"/>
  <c r="N90" i="2"/>
  <c r="N91" i="2"/>
  <c r="N92" i="2"/>
  <c r="N93" i="2"/>
  <c r="N94" i="2"/>
  <c r="N102" i="2"/>
  <c r="N201" i="2"/>
  <c r="N267" i="2"/>
  <c r="N345" i="2"/>
  <c r="N346" i="2"/>
  <c r="N393" i="2"/>
  <c r="N459" i="2"/>
  <c r="N460" i="2"/>
  <c r="N490" i="2"/>
  <c r="N585" i="2"/>
  <c r="N586" i="2"/>
  <c r="N587" i="2"/>
  <c r="N588" i="2"/>
  <c r="N589" i="2"/>
  <c r="N649" i="2"/>
  <c r="N650" i="2"/>
  <c r="N681" i="2"/>
  <c r="N682" i="2"/>
  <c r="U11" i="2"/>
  <c r="U10" i="2"/>
  <c r="N37" i="2"/>
  <c r="N182" i="2"/>
  <c r="N278" i="2"/>
  <c r="N342" i="2"/>
  <c r="N66" i="2"/>
  <c r="N67" i="2"/>
  <c r="N68" i="2"/>
  <c r="N69" i="2"/>
  <c r="N281" i="2"/>
  <c r="N294" i="2"/>
  <c r="N311" i="2"/>
  <c r="N312" i="2"/>
  <c r="N313" i="2"/>
  <c r="N329" i="2"/>
  <c r="N330" i="2"/>
  <c r="N377" i="2"/>
  <c r="N378" i="2"/>
  <c r="N387" i="2"/>
  <c r="N422" i="2"/>
  <c r="N454" i="2"/>
  <c r="N455" i="2"/>
  <c r="N505" i="2"/>
  <c r="N506" i="2"/>
  <c r="N542" i="2"/>
  <c r="N546" i="2"/>
  <c r="N547" i="2"/>
  <c r="N548" i="2"/>
  <c r="N549" i="2"/>
  <c r="N598" i="2"/>
  <c r="N633" i="2"/>
  <c r="N665" i="2"/>
  <c r="N666" i="2"/>
  <c r="U7" i="2"/>
  <c r="U3" i="2"/>
  <c r="U6" i="2"/>
  <c r="U2" i="2"/>
  <c r="K2" i="2" s="1"/>
  <c r="K55" i="2" l="1"/>
  <c r="L55" i="2" s="1"/>
  <c r="K107" i="2"/>
  <c r="L107" i="2" s="1"/>
  <c r="K583" i="2"/>
  <c r="L583" i="2" s="1"/>
  <c r="K337" i="2"/>
  <c r="L337" i="2" s="1"/>
  <c r="K106" i="2"/>
  <c r="L106" i="2" s="1"/>
  <c r="K582" i="2"/>
  <c r="L582" i="2" s="1"/>
  <c r="K336" i="2"/>
  <c r="L336" i="2" s="1"/>
  <c r="K97" i="2"/>
  <c r="L97" i="2" s="1"/>
  <c r="K520" i="2"/>
  <c r="L520" i="2" s="1"/>
  <c r="K335" i="2"/>
  <c r="L335" i="2" s="1"/>
  <c r="K96" i="2"/>
  <c r="L96" i="2" s="1"/>
  <c r="K286" i="2"/>
  <c r="L286" i="2" s="1"/>
  <c r="K480" i="2"/>
  <c r="L480" i="2" s="1"/>
  <c r="K281" i="2"/>
  <c r="L281" i="2" s="1"/>
  <c r="K75" i="2"/>
  <c r="L75" i="2" s="1"/>
  <c r="K678" i="2"/>
  <c r="L678" i="2" s="1"/>
  <c r="K479" i="2"/>
  <c r="L479" i="2" s="1"/>
  <c r="K280" i="2"/>
  <c r="L280" i="2" s="1"/>
  <c r="K74" i="2"/>
  <c r="L74" i="2" s="1"/>
  <c r="K674" i="2"/>
  <c r="L674" i="2" s="1"/>
  <c r="K473" i="2"/>
  <c r="L473" i="2" s="1"/>
  <c r="K258" i="2"/>
  <c r="L258" i="2" s="1"/>
  <c r="K66" i="2"/>
  <c r="L66" i="2" s="1"/>
  <c r="K662" i="2"/>
  <c r="L662" i="2" s="1"/>
  <c r="K472" i="2"/>
  <c r="L472" i="2" s="1"/>
  <c r="K257" i="2"/>
  <c r="L257" i="2" s="1"/>
  <c r="K653" i="2"/>
  <c r="L653" i="2" s="1"/>
  <c r="K447" i="2"/>
  <c r="L447" i="2" s="1"/>
  <c r="K256" i="2"/>
  <c r="L256" i="2" s="1"/>
  <c r="K632" i="2"/>
  <c r="L632" i="2" s="1"/>
  <c r="K438" i="2"/>
  <c r="L438" i="2" s="1"/>
  <c r="K236" i="2"/>
  <c r="L236" i="2" s="1"/>
  <c r="K615" i="2"/>
  <c r="L615" i="2" s="1"/>
  <c r="K434" i="2"/>
  <c r="L434" i="2" s="1"/>
  <c r="K209" i="2"/>
  <c r="L209" i="2" s="1"/>
  <c r="K614" i="2"/>
  <c r="L614" i="2" s="1"/>
  <c r="K430" i="2"/>
  <c r="L430" i="2" s="1"/>
  <c r="K208" i="2"/>
  <c r="L208" i="2" s="1"/>
  <c r="K610" i="2"/>
  <c r="L610" i="2" s="1"/>
  <c r="K414" i="2"/>
  <c r="L414" i="2" s="1"/>
  <c r="K123" i="2"/>
  <c r="L123" i="2" s="1"/>
  <c r="K492" i="2"/>
  <c r="L492" i="2" s="1"/>
  <c r="K82" i="2"/>
  <c r="L82" i="2" s="1"/>
  <c r="K588" i="2"/>
  <c r="L588" i="2" s="1"/>
  <c r="K381" i="2"/>
  <c r="L381" i="2" s="1"/>
  <c r="K109" i="2"/>
  <c r="L109" i="2" s="1"/>
  <c r="K587" i="2"/>
  <c r="L587" i="2" s="1"/>
  <c r="K380" i="2"/>
  <c r="L380" i="2" s="1"/>
  <c r="K108" i="2"/>
  <c r="L108" i="2" s="1"/>
  <c r="K586" i="2"/>
  <c r="L586" i="2" s="1"/>
  <c r="K338" i="2"/>
  <c r="L338" i="2" s="1"/>
  <c r="K572" i="2"/>
  <c r="L572" i="2" s="1"/>
  <c r="K379" i="2"/>
  <c r="L379" i="2" s="1"/>
  <c r="K178" i="2"/>
  <c r="L178" i="2" s="1"/>
  <c r="K160" i="2"/>
  <c r="L160" i="2" s="1"/>
  <c r="K282" i="2"/>
  <c r="L282" i="2" s="1"/>
  <c r="K413" i="2"/>
  <c r="L413" i="2" s="1"/>
  <c r="K519" i="2"/>
  <c r="L519" i="2" s="1"/>
  <c r="K616" i="2"/>
  <c r="L616" i="2" s="1"/>
  <c r="K161" i="2"/>
  <c r="L161" i="2" s="1"/>
  <c r="K287" i="2"/>
  <c r="L287" i="2" s="1"/>
  <c r="K431" i="2"/>
  <c r="L431" i="2" s="1"/>
  <c r="K523" i="2"/>
  <c r="L523" i="2" s="1"/>
  <c r="K656" i="2"/>
  <c r="L656" i="2" s="1"/>
  <c r="K162" i="2"/>
  <c r="L162" i="2" s="1"/>
  <c r="K288" i="2"/>
  <c r="L288" i="2" s="1"/>
  <c r="K432" i="2"/>
  <c r="L432" i="2" s="1"/>
  <c r="K539" i="2"/>
  <c r="L539" i="2" s="1"/>
  <c r="K657" i="2"/>
  <c r="L657" i="2" s="1"/>
  <c r="K173" i="2"/>
  <c r="L173" i="2" s="1"/>
  <c r="K289" i="2"/>
  <c r="L289" i="2" s="1"/>
  <c r="K433" i="2"/>
  <c r="L433" i="2" s="1"/>
  <c r="K571" i="2"/>
  <c r="L571" i="2" s="1"/>
  <c r="K658" i="2"/>
  <c r="L658" i="2" s="1"/>
  <c r="K206" i="2"/>
  <c r="L206" i="2" s="1"/>
  <c r="K365" i="2"/>
  <c r="L365" i="2" s="1"/>
  <c r="K514" i="2"/>
  <c r="L514" i="2" s="1"/>
  <c r="K654" i="2"/>
  <c r="L654" i="2" s="1"/>
  <c r="K43" i="2"/>
  <c r="L43" i="2" s="1"/>
  <c r="K207" i="2"/>
  <c r="L207" i="2" s="1"/>
  <c r="K368" i="2"/>
  <c r="L368" i="2" s="1"/>
  <c r="K518" i="2"/>
  <c r="L518" i="2" s="1"/>
  <c r="K655" i="2"/>
  <c r="L655" i="2" s="1"/>
  <c r="K522" i="2"/>
  <c r="L522" i="2" s="1"/>
  <c r="K369" i="2"/>
  <c r="L369" i="2" s="1"/>
  <c r="K174" i="2"/>
  <c r="L174" i="2" s="1"/>
  <c r="K679" i="2"/>
  <c r="L679" i="2" s="1"/>
  <c r="K521" i="2"/>
  <c r="L521" i="2" s="1"/>
  <c r="K343" i="2"/>
  <c r="L343" i="2" s="1"/>
  <c r="K159" i="2"/>
  <c r="L159" i="2" s="1"/>
  <c r="K631" i="2"/>
  <c r="L631" i="2" s="1"/>
  <c r="K561" i="2"/>
  <c r="L561" i="2" s="1"/>
  <c r="K478" i="2"/>
  <c r="L478" i="2" s="1"/>
  <c r="K412" i="2"/>
  <c r="L412" i="2" s="1"/>
  <c r="K334" i="2"/>
  <c r="L334" i="2" s="1"/>
  <c r="K235" i="2"/>
  <c r="L235" i="2" s="1"/>
  <c r="K158" i="2"/>
  <c r="L158" i="2" s="1"/>
  <c r="L2" i="2"/>
  <c r="K76" i="2"/>
  <c r="L76" i="2" s="1"/>
  <c r="K126" i="2"/>
  <c r="L126" i="2" s="1"/>
  <c r="K183" i="2"/>
  <c r="L183" i="2" s="1"/>
  <c r="K237" i="2"/>
  <c r="L237" i="2" s="1"/>
  <c r="K290" i="2"/>
  <c r="L290" i="2" s="1"/>
  <c r="K344" i="2"/>
  <c r="L344" i="2" s="1"/>
  <c r="K401" i="2"/>
  <c r="L401" i="2" s="1"/>
  <c r="K448" i="2"/>
  <c r="L448" i="2" s="1"/>
  <c r="K493" i="2"/>
  <c r="L493" i="2" s="1"/>
  <c r="K542" i="2"/>
  <c r="L542" i="2" s="1"/>
  <c r="K589" i="2"/>
  <c r="L589" i="2" s="1"/>
  <c r="K633" i="2"/>
  <c r="L633" i="2" s="1"/>
  <c r="K680" i="2"/>
  <c r="L680" i="2" s="1"/>
  <c r="K24" i="2"/>
  <c r="L24" i="2" s="1"/>
  <c r="K77" i="2"/>
  <c r="L77" i="2" s="1"/>
  <c r="K127" i="2"/>
  <c r="L127" i="2" s="1"/>
  <c r="K188" i="2"/>
  <c r="L188" i="2" s="1"/>
  <c r="K238" i="2"/>
  <c r="L238" i="2" s="1"/>
  <c r="K295" i="2"/>
  <c r="L295" i="2" s="1"/>
  <c r="K360" i="2"/>
  <c r="L360" i="2" s="1"/>
  <c r="K402" i="2"/>
  <c r="L402" i="2" s="1"/>
  <c r="K449" i="2"/>
  <c r="L449" i="2" s="1"/>
  <c r="K498" i="2"/>
  <c r="L498" i="2" s="1"/>
  <c r="K545" i="2"/>
  <c r="L545" i="2" s="1"/>
  <c r="K590" i="2"/>
  <c r="L590" i="2" s="1"/>
  <c r="K638" i="2"/>
  <c r="L638" i="2" s="1"/>
  <c r="K681" i="2"/>
  <c r="L681" i="2" s="1"/>
  <c r="K25" i="2"/>
  <c r="L25" i="2" s="1"/>
  <c r="K78" i="2"/>
  <c r="L78" i="2" s="1"/>
  <c r="K128" i="2"/>
  <c r="L128" i="2" s="1"/>
  <c r="K189" i="2"/>
  <c r="L189" i="2" s="1"/>
  <c r="K242" i="2"/>
  <c r="L242" i="2" s="1"/>
  <c r="K296" i="2"/>
  <c r="L296" i="2" s="1"/>
  <c r="K361" i="2"/>
  <c r="L361" i="2" s="1"/>
  <c r="K406" i="2"/>
  <c r="L406" i="2" s="1"/>
  <c r="K450" i="2"/>
  <c r="L450" i="2" s="1"/>
  <c r="K502" i="2"/>
  <c r="L502" i="2" s="1"/>
  <c r="K546" i="2"/>
  <c r="L546" i="2" s="1"/>
  <c r="K591" i="2"/>
  <c r="L591" i="2" s="1"/>
  <c r="K649" i="2"/>
  <c r="L649" i="2" s="1"/>
  <c r="K684" i="2"/>
  <c r="L684" i="2" s="1"/>
  <c r="K26" i="2"/>
  <c r="L26" i="2" s="1"/>
  <c r="K79" i="2"/>
  <c r="L79" i="2" s="1"/>
  <c r="K129" i="2"/>
  <c r="L129" i="2" s="1"/>
  <c r="K203" i="2"/>
  <c r="L203" i="2" s="1"/>
  <c r="K253" i="2"/>
  <c r="L253" i="2" s="1"/>
  <c r="K306" i="2"/>
  <c r="L306" i="2" s="1"/>
  <c r="K362" i="2"/>
  <c r="L362" i="2" s="1"/>
  <c r="K409" i="2"/>
  <c r="L409" i="2" s="1"/>
  <c r="K454" i="2"/>
  <c r="L454" i="2" s="1"/>
  <c r="K503" i="2"/>
  <c r="L503" i="2" s="1"/>
  <c r="K550" i="2"/>
  <c r="L550" i="2" s="1"/>
  <c r="K592" i="2"/>
  <c r="L592" i="2" s="1"/>
  <c r="K650" i="2"/>
  <c r="L650" i="2" s="1"/>
  <c r="K685" i="2"/>
  <c r="L685" i="2" s="1"/>
  <c r="K30" i="2"/>
  <c r="L30" i="2" s="1"/>
  <c r="K80" i="2"/>
  <c r="L80" i="2" s="1"/>
  <c r="K130" i="2"/>
  <c r="L130" i="2" s="1"/>
  <c r="K204" i="2"/>
  <c r="L204" i="2" s="1"/>
  <c r="K254" i="2"/>
  <c r="L254" i="2" s="1"/>
  <c r="K311" i="2"/>
  <c r="L311" i="2" s="1"/>
  <c r="K363" i="2"/>
  <c r="L363" i="2" s="1"/>
  <c r="K410" i="2"/>
  <c r="L410" i="2" s="1"/>
  <c r="K455" i="2"/>
  <c r="L455" i="2" s="1"/>
  <c r="K504" i="2"/>
  <c r="L504" i="2" s="1"/>
  <c r="K551" i="2"/>
  <c r="L551" i="2" s="1"/>
  <c r="K593" i="2"/>
  <c r="L593" i="2" s="1"/>
  <c r="K651" i="2"/>
  <c r="L651" i="2" s="1"/>
  <c r="K694" i="2"/>
  <c r="L694" i="2" s="1"/>
  <c r="K31" i="2"/>
  <c r="L31" i="2" s="1"/>
  <c r="K81" i="2"/>
  <c r="L81" i="2" s="1"/>
  <c r="K152" i="2"/>
  <c r="L152" i="2" s="1"/>
  <c r="K205" i="2"/>
  <c r="L205" i="2" s="1"/>
  <c r="K255" i="2"/>
  <c r="L255" i="2" s="1"/>
  <c r="K316" i="2"/>
  <c r="L316" i="2" s="1"/>
  <c r="K364" i="2"/>
  <c r="L364" i="2" s="1"/>
  <c r="K411" i="2"/>
  <c r="L411" i="2" s="1"/>
  <c r="K471" i="2"/>
  <c r="L471" i="2" s="1"/>
  <c r="K513" i="2"/>
  <c r="L513" i="2" s="1"/>
  <c r="K558" i="2"/>
  <c r="L558" i="2" s="1"/>
  <c r="K609" i="2"/>
  <c r="L609" i="2" s="1"/>
  <c r="K652" i="2"/>
  <c r="L652" i="2" s="1"/>
  <c r="K695" i="2"/>
  <c r="L695" i="2" s="1"/>
  <c r="K32" i="2"/>
  <c r="L32" i="2" s="1"/>
  <c r="K630" i="2"/>
  <c r="L630" i="2" s="1"/>
  <c r="K560" i="2"/>
  <c r="L560" i="2" s="1"/>
  <c r="K477" i="2"/>
  <c r="L477" i="2" s="1"/>
  <c r="K400" i="2"/>
  <c r="L400" i="2" s="1"/>
  <c r="K333" i="2"/>
  <c r="L333" i="2" s="1"/>
  <c r="K234" i="2"/>
  <c r="L234" i="2" s="1"/>
  <c r="K154" i="2"/>
  <c r="L154" i="2" s="1"/>
  <c r="K50" i="2"/>
  <c r="L50" i="2" s="1"/>
  <c r="K698" i="2"/>
  <c r="L698" i="2" s="1"/>
  <c r="K626" i="2"/>
  <c r="L626" i="2" s="1"/>
  <c r="K559" i="2"/>
  <c r="L559" i="2" s="1"/>
  <c r="K476" i="2"/>
  <c r="L476" i="2" s="1"/>
  <c r="K393" i="2"/>
  <c r="L393" i="2" s="1"/>
  <c r="K319" i="2"/>
  <c r="L319" i="2" s="1"/>
  <c r="K216" i="2"/>
  <c r="L216" i="2" s="1"/>
  <c r="K153" i="2"/>
  <c r="L153" i="2" s="1"/>
  <c r="K46" i="2"/>
  <c r="L46" i="2" s="1"/>
  <c r="K697" i="2"/>
  <c r="L697" i="2" s="1"/>
  <c r="K625" i="2"/>
  <c r="L625" i="2" s="1"/>
  <c r="K541" i="2"/>
  <c r="L541" i="2" s="1"/>
  <c r="K475" i="2"/>
  <c r="L475" i="2" s="1"/>
  <c r="K392" i="2"/>
  <c r="L392" i="2" s="1"/>
  <c r="K318" i="2"/>
  <c r="L318" i="2" s="1"/>
  <c r="K215" i="2"/>
  <c r="L215" i="2" s="1"/>
  <c r="K125" i="2"/>
  <c r="L125" i="2" s="1"/>
  <c r="K45" i="2"/>
  <c r="L45" i="2" s="1"/>
  <c r="K696" i="2"/>
  <c r="L696" i="2" s="1"/>
  <c r="K617" i="2"/>
  <c r="L617" i="2" s="1"/>
  <c r="K540" i="2"/>
  <c r="L540" i="2" s="1"/>
  <c r="K474" i="2"/>
  <c r="L474" i="2" s="1"/>
  <c r="K382" i="2"/>
  <c r="L382" i="2" s="1"/>
  <c r="K317" i="2"/>
  <c r="L317" i="2" s="1"/>
  <c r="K210" i="2"/>
  <c r="L210" i="2" s="1"/>
  <c r="K124" i="2"/>
  <c r="L124" i="2" s="1"/>
  <c r="K44" i="2"/>
  <c r="L44" i="2" s="1"/>
  <c r="K9" i="2"/>
  <c r="L9" i="2" s="1"/>
  <c r="K29" i="2"/>
  <c r="L29" i="2" s="1"/>
  <c r="K49" i="2"/>
  <c r="L49" i="2" s="1"/>
  <c r="K73" i="2"/>
  <c r="L73" i="2" s="1"/>
  <c r="K93" i="2"/>
  <c r="L93" i="2" s="1"/>
  <c r="K113" i="2"/>
  <c r="L113" i="2" s="1"/>
  <c r="K137" i="2"/>
  <c r="L137" i="2" s="1"/>
  <c r="K157" i="2"/>
  <c r="L157" i="2" s="1"/>
  <c r="K177" i="2"/>
  <c r="L177" i="2" s="1"/>
  <c r="K201" i="2"/>
  <c r="L201" i="2" s="1"/>
  <c r="K221" i="2"/>
  <c r="L221" i="2" s="1"/>
  <c r="K241" i="2"/>
  <c r="L241" i="2" s="1"/>
  <c r="K265" i="2"/>
  <c r="L265" i="2" s="1"/>
  <c r="K285" i="2"/>
  <c r="L285" i="2" s="1"/>
  <c r="K305" i="2"/>
  <c r="L305" i="2" s="1"/>
  <c r="K329" i="2"/>
  <c r="L329" i="2" s="1"/>
  <c r="K10" i="2"/>
  <c r="L10" i="2" s="1"/>
  <c r="K33" i="2"/>
  <c r="L33" i="2" s="1"/>
  <c r="K60" i="2"/>
  <c r="L60" i="2" s="1"/>
  <c r="K87" i="2"/>
  <c r="L87" i="2" s="1"/>
  <c r="K110" i="2"/>
  <c r="L110" i="2" s="1"/>
  <c r="K140" i="2"/>
  <c r="L140" i="2" s="1"/>
  <c r="K167" i="2"/>
  <c r="L167" i="2" s="1"/>
  <c r="K190" i="2"/>
  <c r="L190" i="2" s="1"/>
  <c r="K217" i="2"/>
  <c r="L217" i="2" s="1"/>
  <c r="K247" i="2"/>
  <c r="L247" i="2" s="1"/>
  <c r="K270" i="2"/>
  <c r="L270" i="2" s="1"/>
  <c r="K297" i="2"/>
  <c r="L297" i="2" s="1"/>
  <c r="K320" i="2"/>
  <c r="L320" i="2" s="1"/>
  <c r="K349" i="2"/>
  <c r="L349" i="2" s="1"/>
  <c r="K370" i="2"/>
  <c r="L370" i="2" s="1"/>
  <c r="K394" i="2"/>
  <c r="L394" i="2" s="1"/>
  <c r="K415" i="2"/>
  <c r="L415" i="2" s="1"/>
  <c r="K439" i="2"/>
  <c r="L439" i="2" s="1"/>
  <c r="K460" i="2"/>
  <c r="L460" i="2" s="1"/>
  <c r="K481" i="2"/>
  <c r="L481" i="2" s="1"/>
  <c r="K507" i="2"/>
  <c r="L507" i="2" s="1"/>
  <c r="K528" i="2"/>
  <c r="L528" i="2" s="1"/>
  <c r="K552" i="2"/>
  <c r="L552" i="2" s="1"/>
  <c r="K573" i="2"/>
  <c r="L573" i="2" s="1"/>
  <c r="K594" i="2"/>
  <c r="L594" i="2" s="1"/>
  <c r="K618" i="2"/>
  <c r="L618" i="2" s="1"/>
  <c r="K639" i="2"/>
  <c r="L639" i="2" s="1"/>
  <c r="K665" i="2"/>
  <c r="L665" i="2" s="1"/>
  <c r="K686" i="2"/>
  <c r="L686" i="2" s="1"/>
  <c r="K11" i="2"/>
  <c r="L11" i="2" s="1"/>
  <c r="K34" i="2"/>
  <c r="L34" i="2" s="1"/>
  <c r="K61" i="2"/>
  <c r="L61" i="2" s="1"/>
  <c r="K88" i="2"/>
  <c r="L88" i="2" s="1"/>
  <c r="K114" i="2"/>
  <c r="L114" i="2" s="1"/>
  <c r="K141" i="2"/>
  <c r="L141" i="2" s="1"/>
  <c r="K168" i="2"/>
  <c r="L168" i="2" s="1"/>
  <c r="K191" i="2"/>
  <c r="L191" i="2" s="1"/>
  <c r="K218" i="2"/>
  <c r="L218" i="2" s="1"/>
  <c r="K248" i="2"/>
  <c r="L248" i="2" s="1"/>
  <c r="K271" i="2"/>
  <c r="L271" i="2" s="1"/>
  <c r="K298" i="2"/>
  <c r="L298" i="2" s="1"/>
  <c r="K321" i="2"/>
  <c r="L321" i="2" s="1"/>
  <c r="K350" i="2"/>
  <c r="L350" i="2" s="1"/>
  <c r="K374" i="2"/>
  <c r="L374" i="2" s="1"/>
  <c r="K395" i="2"/>
  <c r="L395" i="2" s="1"/>
  <c r="K416" i="2"/>
  <c r="L416" i="2" s="1"/>
  <c r="K440" i="2"/>
  <c r="L440" i="2" s="1"/>
  <c r="K461" i="2"/>
  <c r="L461" i="2" s="1"/>
  <c r="K482" i="2"/>
  <c r="L482" i="2" s="1"/>
  <c r="K508" i="2"/>
  <c r="L508" i="2" s="1"/>
  <c r="K529" i="2"/>
  <c r="L529" i="2" s="1"/>
  <c r="K553" i="2"/>
  <c r="L553" i="2" s="1"/>
  <c r="K574" i="2"/>
  <c r="L574" i="2" s="1"/>
  <c r="K598" i="2"/>
  <c r="L598" i="2" s="1"/>
  <c r="K619" i="2"/>
  <c r="L619" i="2" s="1"/>
  <c r="K640" i="2"/>
  <c r="L640" i="2" s="1"/>
  <c r="K666" i="2"/>
  <c r="L666" i="2" s="1"/>
  <c r="K687" i="2"/>
  <c r="L687" i="2" s="1"/>
  <c r="K12" i="2"/>
  <c r="L12" i="2" s="1"/>
  <c r="K39" i="2"/>
  <c r="L39" i="2" s="1"/>
  <c r="K62" i="2"/>
  <c r="L62" i="2" s="1"/>
  <c r="K89" i="2"/>
  <c r="L89" i="2" s="1"/>
  <c r="K119" i="2"/>
  <c r="L119" i="2" s="1"/>
  <c r="K142" i="2"/>
  <c r="L142" i="2" s="1"/>
  <c r="K169" i="2"/>
  <c r="L169" i="2" s="1"/>
  <c r="K192" i="2"/>
  <c r="L192" i="2" s="1"/>
  <c r="K222" i="2"/>
  <c r="L222" i="2" s="1"/>
  <c r="K249" i="2"/>
  <c r="L249" i="2" s="1"/>
  <c r="K272" i="2"/>
  <c r="L272" i="2" s="1"/>
  <c r="K299" i="2"/>
  <c r="L299" i="2" s="1"/>
  <c r="K322" i="2"/>
  <c r="L322" i="2" s="1"/>
  <c r="K351" i="2"/>
  <c r="L351" i="2" s="1"/>
  <c r="K375" i="2"/>
  <c r="L375" i="2" s="1"/>
  <c r="K396" i="2"/>
  <c r="L396" i="2" s="1"/>
  <c r="K417" i="2"/>
  <c r="L417" i="2" s="1"/>
  <c r="K441" i="2"/>
  <c r="L441" i="2" s="1"/>
  <c r="K462" i="2"/>
  <c r="L462" i="2" s="1"/>
  <c r="K488" i="2"/>
  <c r="L488" i="2" s="1"/>
  <c r="K509" i="2"/>
  <c r="L509" i="2" s="1"/>
  <c r="K530" i="2"/>
  <c r="L530" i="2" s="1"/>
  <c r="K554" i="2"/>
  <c r="L554" i="2" s="1"/>
  <c r="K575" i="2"/>
  <c r="L575" i="2" s="1"/>
  <c r="K599" i="2"/>
  <c r="L599" i="2" s="1"/>
  <c r="K620" i="2"/>
  <c r="L620" i="2" s="1"/>
  <c r="K646" i="2"/>
  <c r="L646" i="2" s="1"/>
  <c r="K667" i="2"/>
  <c r="L667" i="2" s="1"/>
  <c r="K688" i="2"/>
  <c r="L688" i="2" s="1"/>
  <c r="K13" i="2"/>
  <c r="L13" i="2" s="1"/>
  <c r="K40" i="2"/>
  <c r="L40" i="2" s="1"/>
  <c r="K63" i="2"/>
  <c r="L63" i="2" s="1"/>
  <c r="K90" i="2"/>
  <c r="L90" i="2" s="1"/>
  <c r="K120" i="2"/>
  <c r="L120" i="2" s="1"/>
  <c r="K143" i="2"/>
  <c r="L143" i="2" s="1"/>
  <c r="K170" i="2"/>
  <c r="L170" i="2" s="1"/>
  <c r="K193" i="2"/>
  <c r="L193" i="2" s="1"/>
  <c r="K223" i="2"/>
  <c r="L223" i="2" s="1"/>
  <c r="K250" i="2"/>
  <c r="L250" i="2" s="1"/>
  <c r="K273" i="2"/>
  <c r="L273" i="2" s="1"/>
  <c r="K300" i="2"/>
  <c r="L300" i="2" s="1"/>
  <c r="K330" i="2"/>
  <c r="L330" i="2" s="1"/>
  <c r="K352" i="2"/>
  <c r="L352" i="2" s="1"/>
  <c r="K376" i="2"/>
  <c r="L376" i="2" s="1"/>
  <c r="K397" i="2"/>
  <c r="L397" i="2" s="1"/>
  <c r="K418" i="2"/>
  <c r="L418" i="2" s="1"/>
  <c r="K442" i="2"/>
  <c r="L442" i="2" s="1"/>
  <c r="K463" i="2"/>
  <c r="L463" i="2" s="1"/>
  <c r="K489" i="2"/>
  <c r="L489" i="2" s="1"/>
  <c r="K510" i="2"/>
  <c r="L510" i="2" s="1"/>
  <c r="K534" i="2"/>
  <c r="L534" i="2" s="1"/>
  <c r="K555" i="2"/>
  <c r="L555" i="2" s="1"/>
  <c r="K576" i="2"/>
  <c r="L576" i="2" s="1"/>
  <c r="K600" i="2"/>
  <c r="L600" i="2" s="1"/>
  <c r="K621" i="2"/>
  <c r="L621" i="2" s="1"/>
  <c r="K647" i="2"/>
  <c r="L647" i="2" s="1"/>
  <c r="K668" i="2"/>
  <c r="L668" i="2" s="1"/>
  <c r="K689" i="2"/>
  <c r="L689" i="2" s="1"/>
  <c r="K14" i="2"/>
  <c r="L14" i="2" s="1"/>
  <c r="K41" i="2"/>
  <c r="L41" i="2" s="1"/>
  <c r="K64" i="2"/>
  <c r="L64" i="2" s="1"/>
  <c r="K94" i="2"/>
  <c r="L94" i="2" s="1"/>
  <c r="K121" i="2"/>
  <c r="L121" i="2" s="1"/>
  <c r="K144" i="2"/>
  <c r="L144" i="2" s="1"/>
  <c r="K171" i="2"/>
  <c r="L171" i="2" s="1"/>
  <c r="K194" i="2"/>
  <c r="L194" i="2" s="1"/>
  <c r="K224" i="2"/>
  <c r="L224" i="2" s="1"/>
  <c r="K251" i="2"/>
  <c r="L251" i="2" s="1"/>
  <c r="K274" i="2"/>
  <c r="L274" i="2" s="1"/>
  <c r="K301" i="2"/>
  <c r="L301" i="2" s="1"/>
  <c r="K331" i="2"/>
  <c r="L331" i="2" s="1"/>
  <c r="K353" i="2"/>
  <c r="L353" i="2" s="1"/>
  <c r="K377" i="2"/>
  <c r="L377" i="2" s="1"/>
  <c r="K398" i="2"/>
  <c r="L398" i="2" s="1"/>
  <c r="K422" i="2"/>
  <c r="L422" i="2" s="1"/>
  <c r="K443" i="2"/>
  <c r="L443" i="2" s="1"/>
  <c r="K466" i="2"/>
  <c r="L466" i="2" s="1"/>
  <c r="K490" i="2"/>
  <c r="L490" i="2" s="1"/>
  <c r="K511" i="2"/>
  <c r="L511" i="2" s="1"/>
  <c r="K535" i="2"/>
  <c r="L535" i="2" s="1"/>
  <c r="K556" i="2"/>
  <c r="L556" i="2" s="1"/>
  <c r="K577" i="2"/>
  <c r="L577" i="2" s="1"/>
  <c r="K601" i="2"/>
  <c r="L601" i="2" s="1"/>
  <c r="K624" i="2"/>
  <c r="L624" i="2" s="1"/>
  <c r="K648" i="2"/>
  <c r="L648" i="2" s="1"/>
  <c r="K669" i="2"/>
  <c r="L669" i="2" s="1"/>
  <c r="K690" i="2"/>
  <c r="L690" i="2" s="1"/>
  <c r="K15" i="2"/>
  <c r="L15" i="2" s="1"/>
  <c r="K42" i="2"/>
  <c r="L42" i="2" s="1"/>
  <c r="K65" i="2"/>
  <c r="L65" i="2" s="1"/>
  <c r="K95" i="2"/>
  <c r="L95" i="2" s="1"/>
  <c r="K122" i="2"/>
  <c r="L122" i="2" s="1"/>
  <c r="K145" i="2"/>
  <c r="L145" i="2" s="1"/>
  <c r="K172" i="2"/>
  <c r="L172" i="2" s="1"/>
  <c r="K202" i="2"/>
  <c r="L202" i="2" s="1"/>
  <c r="K225" i="2"/>
  <c r="L225" i="2" s="1"/>
  <c r="K252" i="2"/>
  <c r="L252" i="2" s="1"/>
  <c r="K279" i="2"/>
  <c r="L279" i="2" s="1"/>
  <c r="K302" i="2"/>
  <c r="L302" i="2" s="1"/>
  <c r="K332" i="2"/>
  <c r="L332" i="2" s="1"/>
  <c r="K354" i="2"/>
  <c r="L354" i="2" s="1"/>
  <c r="K378" i="2"/>
  <c r="L378" i="2" s="1"/>
  <c r="K399" i="2"/>
  <c r="L399" i="2" s="1"/>
  <c r="K423" i="2"/>
  <c r="L423" i="2" s="1"/>
  <c r="K444" i="2"/>
  <c r="L444" i="2" s="1"/>
  <c r="K470" i="2"/>
  <c r="L470" i="2" s="1"/>
  <c r="K491" i="2"/>
  <c r="L491" i="2" s="1"/>
  <c r="K512" i="2"/>
  <c r="L512" i="2" s="1"/>
  <c r="K536" i="2"/>
  <c r="L536" i="2" s="1"/>
  <c r="K557" i="2"/>
  <c r="L557" i="2" s="1"/>
  <c r="K578" i="2"/>
  <c r="L578" i="2" s="1"/>
  <c r="K602" i="2"/>
  <c r="L602" i="2" s="1"/>
  <c r="K673" i="2"/>
  <c r="L673" i="2" s="1"/>
  <c r="K637" i="2"/>
  <c r="L637" i="2" s="1"/>
  <c r="K608" i="2"/>
  <c r="L608" i="2" s="1"/>
  <c r="K570" i="2"/>
  <c r="L570" i="2" s="1"/>
  <c r="K538" i="2"/>
  <c r="L538" i="2" s="1"/>
  <c r="K497" i="2"/>
  <c r="L497" i="2" s="1"/>
  <c r="K459" i="2"/>
  <c r="L459" i="2" s="1"/>
  <c r="K429" i="2"/>
  <c r="L429" i="2" s="1"/>
  <c r="K391" i="2"/>
  <c r="L391" i="2" s="1"/>
  <c r="K359" i="2"/>
  <c r="L359" i="2" s="1"/>
  <c r="K315" i="2"/>
  <c r="L315" i="2" s="1"/>
  <c r="K269" i="2"/>
  <c r="L269" i="2" s="1"/>
  <c r="K233" i="2"/>
  <c r="L233" i="2" s="1"/>
  <c r="K187" i="2"/>
  <c r="L187" i="2" s="1"/>
  <c r="K151" i="2"/>
  <c r="L151" i="2" s="1"/>
  <c r="K105" i="2"/>
  <c r="L105" i="2" s="1"/>
  <c r="K59" i="2"/>
  <c r="L59" i="2" s="1"/>
  <c r="K23" i="2"/>
  <c r="L23" i="2" s="1"/>
  <c r="K672" i="2"/>
  <c r="L672" i="2" s="1"/>
  <c r="K636" i="2"/>
  <c r="L636" i="2" s="1"/>
  <c r="K607" i="2"/>
  <c r="L607" i="2" s="1"/>
  <c r="K569" i="2"/>
  <c r="L569" i="2" s="1"/>
  <c r="K537" i="2"/>
  <c r="L537" i="2" s="1"/>
  <c r="K496" i="2"/>
  <c r="L496" i="2" s="1"/>
  <c r="K458" i="2"/>
  <c r="L458" i="2" s="1"/>
  <c r="K428" i="2"/>
  <c r="L428" i="2" s="1"/>
  <c r="K390" i="2"/>
  <c r="L390" i="2" s="1"/>
  <c r="K358" i="2"/>
  <c r="L358" i="2" s="1"/>
  <c r="K314" i="2"/>
  <c r="L314" i="2" s="1"/>
  <c r="K268" i="2"/>
  <c r="L268" i="2" s="1"/>
  <c r="K232" i="2"/>
  <c r="L232" i="2" s="1"/>
  <c r="K186" i="2"/>
  <c r="L186" i="2" s="1"/>
  <c r="K146" i="2"/>
  <c r="L146" i="2" s="1"/>
  <c r="K104" i="2"/>
  <c r="L104" i="2" s="1"/>
  <c r="K58" i="2"/>
  <c r="L58" i="2" s="1"/>
  <c r="K18" i="2"/>
  <c r="L18" i="2" s="1"/>
  <c r="K700" i="2"/>
  <c r="L700" i="2" s="1"/>
  <c r="K671" i="2"/>
  <c r="L671" i="2" s="1"/>
  <c r="K635" i="2"/>
  <c r="L635" i="2" s="1"/>
  <c r="K606" i="2"/>
  <c r="L606" i="2" s="1"/>
  <c r="K568" i="2"/>
  <c r="L568" i="2" s="1"/>
  <c r="K527" i="2"/>
  <c r="L527" i="2" s="1"/>
  <c r="K495" i="2"/>
  <c r="L495" i="2" s="1"/>
  <c r="K457" i="2"/>
  <c r="L457" i="2" s="1"/>
  <c r="K425" i="2"/>
  <c r="L425" i="2" s="1"/>
  <c r="K384" i="2"/>
  <c r="L384" i="2" s="1"/>
  <c r="K346" i="2"/>
  <c r="L346" i="2" s="1"/>
  <c r="K313" i="2"/>
  <c r="L313" i="2" s="1"/>
  <c r="K267" i="2"/>
  <c r="L267" i="2" s="1"/>
  <c r="K231" i="2"/>
  <c r="L231" i="2" s="1"/>
  <c r="K185" i="2"/>
  <c r="L185" i="2" s="1"/>
  <c r="K139" i="2"/>
  <c r="L139" i="2" s="1"/>
  <c r="K103" i="2"/>
  <c r="L103" i="2" s="1"/>
  <c r="K57" i="2"/>
  <c r="L57" i="2" s="1"/>
  <c r="K17" i="2"/>
  <c r="L17" i="2" s="1"/>
  <c r="K699" i="2"/>
  <c r="L699" i="2" s="1"/>
  <c r="K670" i="2"/>
  <c r="L670" i="2" s="1"/>
  <c r="K634" i="2"/>
  <c r="L634" i="2" s="1"/>
  <c r="K605" i="2"/>
  <c r="L605" i="2" s="1"/>
  <c r="K567" i="2"/>
  <c r="L567" i="2" s="1"/>
  <c r="K526" i="2"/>
  <c r="L526" i="2" s="1"/>
  <c r="K494" i="2"/>
  <c r="L494" i="2" s="1"/>
  <c r="K456" i="2"/>
  <c r="L456" i="2" s="1"/>
  <c r="K424" i="2"/>
  <c r="L424" i="2" s="1"/>
  <c r="K383" i="2"/>
  <c r="L383" i="2" s="1"/>
  <c r="K345" i="2"/>
  <c r="L345" i="2" s="1"/>
  <c r="K312" i="2"/>
  <c r="L312" i="2" s="1"/>
  <c r="K266" i="2"/>
  <c r="L266" i="2" s="1"/>
  <c r="K226" i="2"/>
  <c r="L226" i="2" s="1"/>
  <c r="K184" i="2"/>
  <c r="L184" i="2" s="1"/>
  <c r="K138" i="2"/>
  <c r="L138" i="2" s="1"/>
  <c r="K98" i="2"/>
  <c r="L98" i="2" s="1"/>
  <c r="K56" i="2"/>
  <c r="L56" i="2" s="1"/>
  <c r="K16" i="2"/>
  <c r="L16" i="2" s="1"/>
  <c r="K3" i="2"/>
  <c r="L3" i="2" s="1"/>
  <c r="K19" i="2"/>
  <c r="L19" i="2" s="1"/>
  <c r="K35" i="2"/>
  <c r="L35" i="2" s="1"/>
  <c r="K51" i="2"/>
  <c r="L51" i="2" s="1"/>
  <c r="K67" i="2"/>
  <c r="L67" i="2" s="1"/>
  <c r="K83" i="2"/>
  <c r="L83" i="2" s="1"/>
  <c r="K99" i="2"/>
  <c r="L99" i="2" s="1"/>
  <c r="K115" i="2"/>
  <c r="L115" i="2" s="1"/>
  <c r="K131" i="2"/>
  <c r="L131" i="2" s="1"/>
  <c r="K147" i="2"/>
  <c r="L147" i="2" s="1"/>
  <c r="K163" i="2"/>
  <c r="L163" i="2" s="1"/>
  <c r="K179" i="2"/>
  <c r="L179" i="2" s="1"/>
  <c r="K195" i="2"/>
  <c r="L195" i="2" s="1"/>
  <c r="K211" i="2"/>
  <c r="L211" i="2" s="1"/>
  <c r="K227" i="2"/>
  <c r="L227" i="2" s="1"/>
  <c r="K243" i="2"/>
  <c r="L243" i="2" s="1"/>
  <c r="K259" i="2"/>
  <c r="L259" i="2" s="1"/>
  <c r="K275" i="2"/>
  <c r="L275" i="2" s="1"/>
  <c r="K291" i="2"/>
  <c r="L291" i="2" s="1"/>
  <c r="K307" i="2"/>
  <c r="L307" i="2" s="1"/>
  <c r="K323" i="2"/>
  <c r="L323" i="2" s="1"/>
  <c r="K339" i="2"/>
  <c r="L339" i="2" s="1"/>
  <c r="K355" i="2"/>
  <c r="L355" i="2" s="1"/>
  <c r="K371" i="2"/>
  <c r="L371" i="2" s="1"/>
  <c r="K387" i="2"/>
  <c r="L387" i="2" s="1"/>
  <c r="K403" i="2"/>
  <c r="L403" i="2" s="1"/>
  <c r="K419" i="2"/>
  <c r="L419" i="2" s="1"/>
  <c r="K435" i="2"/>
  <c r="L435" i="2" s="1"/>
  <c r="K451" i="2"/>
  <c r="L451" i="2" s="1"/>
  <c r="K467" i="2"/>
  <c r="L467" i="2" s="1"/>
  <c r="K483" i="2"/>
  <c r="L483" i="2" s="1"/>
  <c r="K499" i="2"/>
  <c r="L499" i="2" s="1"/>
  <c r="K515" i="2"/>
  <c r="L515" i="2" s="1"/>
  <c r="K531" i="2"/>
  <c r="L531" i="2" s="1"/>
  <c r="K547" i="2"/>
  <c r="L547" i="2" s="1"/>
  <c r="K563" i="2"/>
  <c r="L563" i="2" s="1"/>
  <c r="K579" i="2"/>
  <c r="L579" i="2" s="1"/>
  <c r="K595" i="2"/>
  <c r="L595" i="2" s="1"/>
  <c r="K611" i="2"/>
  <c r="L611" i="2" s="1"/>
  <c r="K627" i="2"/>
  <c r="L627" i="2" s="1"/>
  <c r="K643" i="2"/>
  <c r="L643" i="2" s="1"/>
  <c r="K659" i="2"/>
  <c r="L659" i="2" s="1"/>
  <c r="K675" i="2"/>
  <c r="L675" i="2" s="1"/>
  <c r="K691" i="2"/>
  <c r="L691" i="2" s="1"/>
  <c r="K37" i="2"/>
  <c r="L37" i="2" s="1"/>
  <c r="K133" i="2"/>
  <c r="L133" i="2" s="1"/>
  <c r="K165" i="2"/>
  <c r="L165" i="2" s="1"/>
  <c r="K197" i="2"/>
  <c r="L197" i="2" s="1"/>
  <c r="K245" i="2"/>
  <c r="L245" i="2" s="1"/>
  <c r="K277" i="2"/>
  <c r="L277" i="2" s="1"/>
  <c r="K309" i="2"/>
  <c r="L309" i="2" s="1"/>
  <c r="K325" i="2"/>
  <c r="L325" i="2" s="1"/>
  <c r="K357" i="2"/>
  <c r="L357" i="2" s="1"/>
  <c r="K389" i="2"/>
  <c r="L389" i="2" s="1"/>
  <c r="K437" i="2"/>
  <c r="L437" i="2" s="1"/>
  <c r="K469" i="2"/>
  <c r="L469" i="2" s="1"/>
  <c r="K501" i="2"/>
  <c r="L501" i="2" s="1"/>
  <c r="K533" i="2"/>
  <c r="L533" i="2" s="1"/>
  <c r="K565" i="2"/>
  <c r="L565" i="2" s="1"/>
  <c r="K597" i="2"/>
  <c r="L597" i="2" s="1"/>
  <c r="K629" i="2"/>
  <c r="L629" i="2" s="1"/>
  <c r="K661" i="2"/>
  <c r="L661" i="2" s="1"/>
  <c r="K693" i="2"/>
  <c r="L693" i="2" s="1"/>
  <c r="K22" i="2"/>
  <c r="L22" i="2" s="1"/>
  <c r="K54" i="2"/>
  <c r="L54" i="2" s="1"/>
  <c r="K86" i="2"/>
  <c r="L86" i="2" s="1"/>
  <c r="K118" i="2"/>
  <c r="L118" i="2" s="1"/>
  <c r="K150" i="2"/>
  <c r="L150" i="2" s="1"/>
  <c r="K182" i="2"/>
  <c r="L182" i="2" s="1"/>
  <c r="K4" i="2"/>
  <c r="L4" i="2" s="1"/>
  <c r="K20" i="2"/>
  <c r="L20" i="2" s="1"/>
  <c r="K36" i="2"/>
  <c r="L36" i="2" s="1"/>
  <c r="K52" i="2"/>
  <c r="L52" i="2" s="1"/>
  <c r="K68" i="2"/>
  <c r="L68" i="2" s="1"/>
  <c r="K84" i="2"/>
  <c r="L84" i="2" s="1"/>
  <c r="K100" i="2"/>
  <c r="L100" i="2" s="1"/>
  <c r="K116" i="2"/>
  <c r="L116" i="2" s="1"/>
  <c r="K132" i="2"/>
  <c r="L132" i="2" s="1"/>
  <c r="K148" i="2"/>
  <c r="L148" i="2" s="1"/>
  <c r="K164" i="2"/>
  <c r="L164" i="2" s="1"/>
  <c r="K180" i="2"/>
  <c r="L180" i="2" s="1"/>
  <c r="K196" i="2"/>
  <c r="L196" i="2" s="1"/>
  <c r="K212" i="2"/>
  <c r="L212" i="2" s="1"/>
  <c r="K228" i="2"/>
  <c r="L228" i="2" s="1"/>
  <c r="K244" i="2"/>
  <c r="L244" i="2" s="1"/>
  <c r="K260" i="2"/>
  <c r="L260" i="2" s="1"/>
  <c r="K276" i="2"/>
  <c r="L276" i="2" s="1"/>
  <c r="K292" i="2"/>
  <c r="L292" i="2" s="1"/>
  <c r="K308" i="2"/>
  <c r="L308" i="2" s="1"/>
  <c r="K324" i="2"/>
  <c r="L324" i="2" s="1"/>
  <c r="K340" i="2"/>
  <c r="L340" i="2" s="1"/>
  <c r="K356" i="2"/>
  <c r="L356" i="2" s="1"/>
  <c r="K372" i="2"/>
  <c r="L372" i="2" s="1"/>
  <c r="K388" i="2"/>
  <c r="L388" i="2" s="1"/>
  <c r="K404" i="2"/>
  <c r="L404" i="2" s="1"/>
  <c r="K420" i="2"/>
  <c r="L420" i="2" s="1"/>
  <c r="K436" i="2"/>
  <c r="L436" i="2" s="1"/>
  <c r="K452" i="2"/>
  <c r="L452" i="2" s="1"/>
  <c r="K468" i="2"/>
  <c r="L468" i="2" s="1"/>
  <c r="K484" i="2"/>
  <c r="L484" i="2" s="1"/>
  <c r="K500" i="2"/>
  <c r="L500" i="2" s="1"/>
  <c r="K516" i="2"/>
  <c r="L516" i="2" s="1"/>
  <c r="K532" i="2"/>
  <c r="L532" i="2" s="1"/>
  <c r="K548" i="2"/>
  <c r="L548" i="2" s="1"/>
  <c r="K564" i="2"/>
  <c r="L564" i="2" s="1"/>
  <c r="K580" i="2"/>
  <c r="L580" i="2" s="1"/>
  <c r="K596" i="2"/>
  <c r="L596" i="2" s="1"/>
  <c r="K612" i="2"/>
  <c r="L612" i="2" s="1"/>
  <c r="K628" i="2"/>
  <c r="L628" i="2" s="1"/>
  <c r="K644" i="2"/>
  <c r="L644" i="2" s="1"/>
  <c r="K660" i="2"/>
  <c r="L660" i="2" s="1"/>
  <c r="K676" i="2"/>
  <c r="L676" i="2" s="1"/>
  <c r="K692" i="2"/>
  <c r="L692" i="2" s="1"/>
  <c r="K5" i="2"/>
  <c r="L5" i="2" s="1"/>
  <c r="K21" i="2"/>
  <c r="L21" i="2" s="1"/>
  <c r="K53" i="2"/>
  <c r="L53" i="2" s="1"/>
  <c r="K69" i="2"/>
  <c r="L69" i="2" s="1"/>
  <c r="K85" i="2"/>
  <c r="L85" i="2" s="1"/>
  <c r="K101" i="2"/>
  <c r="L101" i="2" s="1"/>
  <c r="K117" i="2"/>
  <c r="L117" i="2" s="1"/>
  <c r="K149" i="2"/>
  <c r="L149" i="2" s="1"/>
  <c r="K181" i="2"/>
  <c r="L181" i="2" s="1"/>
  <c r="K213" i="2"/>
  <c r="L213" i="2" s="1"/>
  <c r="K229" i="2"/>
  <c r="L229" i="2" s="1"/>
  <c r="K261" i="2"/>
  <c r="L261" i="2" s="1"/>
  <c r="K293" i="2"/>
  <c r="L293" i="2" s="1"/>
  <c r="K341" i="2"/>
  <c r="L341" i="2" s="1"/>
  <c r="K373" i="2"/>
  <c r="L373" i="2" s="1"/>
  <c r="K405" i="2"/>
  <c r="L405" i="2" s="1"/>
  <c r="K421" i="2"/>
  <c r="L421" i="2" s="1"/>
  <c r="K453" i="2"/>
  <c r="L453" i="2" s="1"/>
  <c r="K485" i="2"/>
  <c r="L485" i="2" s="1"/>
  <c r="K517" i="2"/>
  <c r="L517" i="2" s="1"/>
  <c r="K549" i="2"/>
  <c r="L549" i="2" s="1"/>
  <c r="K581" i="2"/>
  <c r="L581" i="2" s="1"/>
  <c r="K613" i="2"/>
  <c r="L613" i="2" s="1"/>
  <c r="K645" i="2"/>
  <c r="L645" i="2" s="1"/>
  <c r="K677" i="2"/>
  <c r="L677" i="2" s="1"/>
  <c r="K6" i="2"/>
  <c r="L6" i="2" s="1"/>
  <c r="K38" i="2"/>
  <c r="L38" i="2" s="1"/>
  <c r="K70" i="2"/>
  <c r="L70" i="2" s="1"/>
  <c r="K102" i="2"/>
  <c r="L102" i="2" s="1"/>
  <c r="K134" i="2"/>
  <c r="L134" i="2" s="1"/>
  <c r="K166" i="2"/>
  <c r="L166" i="2" s="1"/>
  <c r="K198" i="2"/>
  <c r="L198" i="2" s="1"/>
  <c r="K214" i="2"/>
  <c r="L214" i="2" s="1"/>
  <c r="K230" i="2"/>
  <c r="L230" i="2" s="1"/>
  <c r="K246" i="2"/>
  <c r="L246" i="2" s="1"/>
  <c r="K262" i="2"/>
  <c r="L262" i="2" s="1"/>
  <c r="K278" i="2"/>
  <c r="L278" i="2" s="1"/>
  <c r="K294" i="2"/>
  <c r="L294" i="2" s="1"/>
  <c r="K310" i="2"/>
  <c r="L310" i="2" s="1"/>
  <c r="K326" i="2"/>
  <c r="L326" i="2" s="1"/>
  <c r="K342" i="2"/>
  <c r="L342" i="2" s="1"/>
  <c r="K683" i="2"/>
  <c r="L683" i="2" s="1"/>
  <c r="K664" i="2"/>
  <c r="L664" i="2" s="1"/>
  <c r="K642" i="2"/>
  <c r="L642" i="2" s="1"/>
  <c r="K623" i="2"/>
  <c r="L623" i="2" s="1"/>
  <c r="K604" i="2"/>
  <c r="L604" i="2" s="1"/>
  <c r="K585" i="2"/>
  <c r="L585" i="2" s="1"/>
  <c r="K566" i="2"/>
  <c r="L566" i="2" s="1"/>
  <c r="K544" i="2"/>
  <c r="L544" i="2" s="1"/>
  <c r="K525" i="2"/>
  <c r="L525" i="2" s="1"/>
  <c r="K506" i="2"/>
  <c r="L506" i="2" s="1"/>
  <c r="K487" i="2"/>
  <c r="L487" i="2" s="1"/>
  <c r="K465" i="2"/>
  <c r="L465" i="2" s="1"/>
  <c r="K446" i="2"/>
  <c r="L446" i="2" s="1"/>
  <c r="K427" i="2"/>
  <c r="L427" i="2" s="1"/>
  <c r="K408" i="2"/>
  <c r="L408" i="2" s="1"/>
  <c r="K386" i="2"/>
  <c r="L386" i="2" s="1"/>
  <c r="K367" i="2"/>
  <c r="L367" i="2" s="1"/>
  <c r="K348" i="2"/>
  <c r="L348" i="2" s="1"/>
  <c r="K328" i="2"/>
  <c r="L328" i="2" s="1"/>
  <c r="K304" i="2"/>
  <c r="L304" i="2" s="1"/>
  <c r="K284" i="2"/>
  <c r="L284" i="2" s="1"/>
  <c r="K264" i="2"/>
  <c r="L264" i="2" s="1"/>
  <c r="K240" i="2"/>
  <c r="L240" i="2" s="1"/>
  <c r="K220" i="2"/>
  <c r="L220" i="2" s="1"/>
  <c r="K200" i="2"/>
  <c r="L200" i="2" s="1"/>
  <c r="K176" i="2"/>
  <c r="L176" i="2" s="1"/>
  <c r="K156" i="2"/>
  <c r="L156" i="2" s="1"/>
  <c r="K136" i="2"/>
  <c r="L136" i="2" s="1"/>
  <c r="K112" i="2"/>
  <c r="L112" i="2" s="1"/>
  <c r="K92" i="2"/>
  <c r="L92" i="2" s="1"/>
  <c r="K72" i="2"/>
  <c r="L72" i="2" s="1"/>
  <c r="K48" i="2"/>
  <c r="L48" i="2" s="1"/>
  <c r="K28" i="2"/>
  <c r="L28" i="2" s="1"/>
  <c r="K8" i="2"/>
  <c r="L8" i="2" s="1"/>
  <c r="K701" i="2"/>
  <c r="L701" i="2" s="1"/>
  <c r="K682" i="2"/>
  <c r="L682" i="2" s="1"/>
  <c r="K663" i="2"/>
  <c r="L663" i="2" s="1"/>
  <c r="K641" i="2"/>
  <c r="L641" i="2" s="1"/>
  <c r="K622" i="2"/>
  <c r="L622" i="2" s="1"/>
  <c r="K603" i="2"/>
  <c r="L603" i="2" s="1"/>
  <c r="K584" i="2"/>
  <c r="L584" i="2" s="1"/>
  <c r="K562" i="2"/>
  <c r="L562" i="2" s="1"/>
  <c r="K543" i="2"/>
  <c r="L543" i="2" s="1"/>
  <c r="K524" i="2"/>
  <c r="L524" i="2" s="1"/>
  <c r="K505" i="2"/>
  <c r="L505" i="2" s="1"/>
  <c r="K486" i="2"/>
  <c r="L486" i="2" s="1"/>
  <c r="K464" i="2"/>
  <c r="L464" i="2" s="1"/>
  <c r="K445" i="2"/>
  <c r="L445" i="2" s="1"/>
  <c r="K426" i="2"/>
  <c r="L426" i="2" s="1"/>
  <c r="K407" i="2"/>
  <c r="L407" i="2" s="1"/>
  <c r="K385" i="2"/>
  <c r="L385" i="2" s="1"/>
  <c r="K366" i="2"/>
  <c r="L366" i="2" s="1"/>
  <c r="K347" i="2"/>
  <c r="L347" i="2" s="1"/>
  <c r="K327" i="2"/>
  <c r="L327" i="2" s="1"/>
  <c r="K303" i="2"/>
  <c r="L303" i="2" s="1"/>
  <c r="K283" i="2"/>
  <c r="L283" i="2" s="1"/>
  <c r="K263" i="2"/>
  <c r="L263" i="2" s="1"/>
  <c r="K239" i="2"/>
  <c r="L239" i="2" s="1"/>
  <c r="K219" i="2"/>
  <c r="L219" i="2" s="1"/>
  <c r="K199" i="2"/>
  <c r="L199" i="2" s="1"/>
  <c r="K175" i="2"/>
  <c r="L175" i="2" s="1"/>
  <c r="K155" i="2"/>
  <c r="L155" i="2" s="1"/>
  <c r="K135" i="2"/>
  <c r="L135" i="2" s="1"/>
  <c r="K111" i="2"/>
  <c r="L111" i="2" s="1"/>
  <c r="K91" i="2"/>
  <c r="L91" i="2" s="1"/>
  <c r="K71" i="2"/>
  <c r="L71" i="2" s="1"/>
  <c r="K47" i="2"/>
  <c r="L47" i="2" s="1"/>
  <c r="K27" i="2"/>
  <c r="L27" i="2" s="1"/>
  <c r="K7" i="2"/>
  <c r="L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648857-BD96-4D84-857A-CB4AFD2A6BCC}" keepAlive="1" name="Query - financials" description="Connection to the 'financials' query in the workbook." type="5" refreshedVersion="8" background="1" saveData="1">
    <dbPr connection="Provider=Microsoft.Mashup.OleDb.1;Data Source=$Workbook$;Location=financials;Extended Properties=&quot;&quot;" command="SELECT * FROM [financials]"/>
  </connection>
  <connection id="2" xr16:uid="{D9BE2E70-830A-476F-B64E-E5CB8599135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46096F4-11CE-4EF0-9F6A-D408B29ECC7D}" name="WorksheetConnection_reaidy.io.xlsx!financials" type="102" refreshedVersion="8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reaidy.io.xlsxfinancials"/>
        </x15:connection>
      </ext>
    </extLst>
  </connection>
</connections>
</file>

<file path=xl/sharedStrings.xml><?xml version="1.0" encoding="utf-8"?>
<sst xmlns="http://schemas.openxmlformats.org/spreadsheetml/2006/main" count="741" uniqueCount="38">
  <si>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</si>
  <si>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</si>
  <si>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</si>
  <si>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</si>
  <si>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</si>
  <si>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</si>
  <si>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</si>
  <si>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</si>
  <si>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Total_Expenses</t>
  </si>
  <si>
    <t>Calculated_Profit</t>
  </si>
  <si>
    <t>January</t>
  </si>
  <si>
    <t>June</t>
  </si>
  <si>
    <t>December</t>
  </si>
  <si>
    <t>March</t>
  </si>
  <si>
    <t>July</t>
  </si>
  <si>
    <t>August</t>
  </si>
  <si>
    <t>September</t>
  </si>
  <si>
    <t>October</t>
  </si>
  <si>
    <t>February</t>
  </si>
  <si>
    <t>November</t>
  </si>
  <si>
    <t>April</t>
  </si>
  <si>
    <t>May</t>
  </si>
  <si>
    <t>Sum of  Sales</t>
  </si>
  <si>
    <t>Sum of Total_Expenses</t>
  </si>
  <si>
    <t>Grand Total</t>
  </si>
  <si>
    <t>Row Labels</t>
  </si>
  <si>
    <t>Sum of Calculated_Profit</t>
  </si>
  <si>
    <t>2013 Total</t>
  </si>
  <si>
    <t>2014 Total</t>
  </si>
  <si>
    <t>Sales_Zscore</t>
  </si>
  <si>
    <t>Sales_Anomaly</t>
  </si>
  <si>
    <t>Expense_ZScore</t>
  </si>
  <si>
    <t>Expense_Anomaly</t>
  </si>
  <si>
    <t>Profit_ZScore</t>
  </si>
  <si>
    <r>
      <t> </t>
    </r>
    <r>
      <rPr>
        <sz val="8"/>
        <color rgb="FFFFFFFF"/>
        <rFont val="Segoe UI"/>
        <family val="2"/>
      </rPr>
      <t>Profit_Anomaly</t>
    </r>
  </si>
  <si>
    <t>Count of Sales_Anomaly</t>
  </si>
  <si>
    <t>Count of Expense_Anomaly</t>
  </si>
  <si>
    <t>Count of Profit_Anomaly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</si>
</sst>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FFFFFF"/>
      <name val="Segoe UI"/>
      <family val="2"/>
    </font>
    <font>
      <sz val="7"/>
      <color rgb="FFFFFFFF"/>
      <name val="Consolas"/>
      <family val="3"/>
    </font>
    <font>
      <sz val="8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9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[reaidy.io.xlsx]Sheet5!PivotTable2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Sum of 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Sheet5!$A$2:$B$20</c:f>
              <c:multiLvlStrCache>
                <c:ptCount val="16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Sheet5!$C$2:$C$20</c:f>
              <c:numCache>
                <c:formatCode>#,##0</c:formatCode>
                <c:ptCount val="16"/>
                <c:pt idx="0">
                  <c:v>4484000.03</c:v>
                </c:pt>
                <c:pt idx="1">
                  <c:v>9295611.0999999959</c:v>
                </c:pt>
                <c:pt idx="2">
                  <c:v>7267203.2999999998</c:v>
                </c:pt>
                <c:pt idx="3">
                  <c:v>5368441.08</c:v>
                </c:pt>
                <c:pt idx="4">
                  <c:v>6607761.6800000006</c:v>
                </c:pt>
                <c:pt idx="5">
                  <c:v>7297531.3900000006</c:v>
                </c:pt>
                <c:pt idx="6">
                  <c:v>5586859.8699999992</c:v>
                </c:pt>
                <c:pt idx="7">
                  <c:v>6964775.0700000003</c:v>
                </c:pt>
                <c:pt idx="8">
                  <c:v>6210211.0600000005</c:v>
                </c:pt>
                <c:pt idx="9">
                  <c:v>9518893.8199999966</c:v>
                </c:pt>
                <c:pt idx="10">
                  <c:v>8102920.1800000016</c:v>
                </c:pt>
                <c:pt idx="11">
                  <c:v>5864622.4199999999</c:v>
                </c:pt>
                <c:pt idx="12">
                  <c:v>6398697.2400000002</c:v>
                </c:pt>
                <c:pt idx="13">
                  <c:v>12375819.919999994</c:v>
                </c:pt>
                <c:pt idx="14">
                  <c:v>5384214.2000000002</c:v>
                </c:pt>
                <c:pt idx="15">
                  <c:v>11998787.900000002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1-4460-8EB2-61CBAD5139B8}"/>
            </c:ext>
          </c:extLst>
        </c:ser>
        <c:ser>
          <c:idx val="1"/>
          <c:order val="1"/>
          <c:tx>
            <c:strRef>
              <c:f>Sheet5!$D$1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Sheet5!$A$2:$B$20</c:f>
              <c:multiLvlStrCache>
                <c:ptCount val="16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Sheet5!$D$2:$D$20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1-4460-8EB2-61CBAD5139B8}"/>
            </c:ext>
          </c:extLst>
        </c:ser>
        <c:ser>
          <c:idx val="2"/>
          <c:order val="2"/>
          <c:tx>
            <c:strRef>
              <c:f>Sheet5!$E$1</c:f>
              <c:strCache>
                <c:ptCount val="1"/>
                <c:pt idx="0">
                  <c:v>Sum of Total_Expenses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Sheet5!$A$2:$B$20</c:f>
              <c:multiLvlStrCache>
                <c:ptCount val="16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Sheet5!$E$2:$E$20</c:f>
              <c:numCache>
                <c:formatCode>#,##0</c:formatCode>
                <c:ptCount val="16"/>
                <c:pt idx="0">
                  <c:v>3966132.9700000007</c:v>
                </c:pt>
                <c:pt idx="1">
                  <c:v>8170892.9000000013</c:v>
                </c:pt>
                <c:pt idx="2">
                  <c:v>7401835.7000000002</c:v>
                </c:pt>
                <c:pt idx="3">
                  <c:v>5143460.92</c:v>
                </c:pt>
                <c:pt idx="4">
                  <c:v>6493374.8199999994</c:v>
                </c:pt>
                <c:pt idx="5">
                  <c:v>6550653.6099999994</c:v>
                </c:pt>
                <c:pt idx="6">
                  <c:v>5454159.1299999999</c:v>
                </c:pt>
                <c:pt idx="7">
                  <c:v>6499407.9299999997</c:v>
                </c:pt>
                <c:pt idx="8">
                  <c:v>5939270.9399999995</c:v>
                </c:pt>
                <c:pt idx="9">
                  <c:v>8795218.1800000034</c:v>
                </c:pt>
                <c:pt idx="10">
                  <c:v>7909161.8199999984</c:v>
                </c:pt>
                <c:pt idx="11">
                  <c:v>5534892.5800000001</c:v>
                </c:pt>
                <c:pt idx="12">
                  <c:v>5822184.7599999998</c:v>
                </c:pt>
                <c:pt idx="13">
                  <c:v>11531438.080000004</c:v>
                </c:pt>
                <c:pt idx="14">
                  <c:v>5343309.8</c:v>
                </c:pt>
                <c:pt idx="15">
                  <c:v>10482502.099999998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71-4460-8EB2-61CBAD513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030944"/>
        <c:axId val="720037184"/>
      </c:barChart>
      <c:catAx>
        <c:axId val="72003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037184"/>
        <c:crosses val="autoZero"/>
        <c:auto val="1"/>
        <c:lblAlgn val="ctr"/>
        <c:lblOffset val="100"/>
        <c:noMultiLvlLbl val="0"/>
      </c:catAx>
      <c:valAx>
        <c:axId val="7200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0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22</xdr:row>
      <xdr:rowOff>139699</xdr:rowOff>
    </xdr:from>
    <xdr:to>
      <xdr:col>4</xdr:col>
      <xdr:colOff>571500</xdr:colOff>
      <xdr:row>37</xdr:row>
      <xdr:rowOff>15874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24FF4-5C82-064C-D246-9F90A497F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vas" refreshedDate="46043.900296759261" createdVersion="8" refreshedVersion="8" minRefreshableVersion="3" recordCount="700" xr:uid="{56CADACF-89F8-4560-898B-EFE84A77CC5C}">
  <cacheSource type="worksheet">
    <worksheetSource name="financials"/>
  </cacheSource>
  <cacheFields count="10">
    <cacheField name="Discounts" numFmtId="0">
      <sharedItems containsSemiMixedTypes="0" containsString="0" containsNumber="1" minValue="0" maxValue="149677.5"/>
    </cacheField>
    <cacheField name=" 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 count="12">
        <n v="1"/>
        <n v="6"/>
        <n v="12"/>
        <n v="3"/>
        <n v="7"/>
        <n v="8"/>
        <n v="9"/>
        <n v="10"/>
        <n v="2"/>
        <n v="11"/>
        <n v="4"/>
        <n v="5"/>
      </sharedItems>
    </cacheField>
    <cacheField name="Month Name" numFmtId="0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  <cacheField name="Total_Expenses" numFmtId="0">
      <sharedItems containsSemiMixedTypes="0" containsString="0" containsNumber="1" minValue="1101" maxValue="1053292.5"/>
    </cacheField>
    <cacheField name="Calculated_Profit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nivas" refreshedDate="46043.990831481482" backgroundQuery="1" createdVersion="8" refreshedVersion="8" minRefreshableVersion="3" recordCount="0" supportSubquery="1" supportAdvancedDrill="1" xr:uid="{21D37AAD-B3D9-49DF-894C-40DD1A989E9F}">
  <cacheSource type="external" connectionId="2"/>
  <cacheFields count="4">
    <cacheField name="[financials].[Month Name].[Month Name]" caption="Month Name" numFmtId="0" hierarchy="6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Count of Sales_Anomaly]" caption="Count of Sales_Anomaly" numFmtId="0" hierarchy="18" level="32767"/>
    <cacheField name="[Measures].[Count of Expense_Anomaly]" caption="Count of Expense_Anomaly" numFmtId="0" hierarchy="19" level="32767"/>
    <cacheField name="[Measures].[Count of Profit_Anomaly]" caption="Count of Profit_Anomaly" numFmtId="0" hierarchy="20" level="32767"/>
  </cacheFields>
  <cacheHierarchies count="21">
    <cacheHierarchy uniqueName="[financials].[Discounts]" caption="Discounts" attribute="1" defaultMemberUniqueName="[financials].[Discounts].[All]" allUniqueName="[financials].[Discounts].[All]" dimensionUniqueName="[financials]" displayFolder="" count="0" memberValueDatatype="5" unbalanced="0"/>
    <cacheHierarchy uniqueName="[financials].[Sales]" caption="Sales" attribute="1" defaultMemberUniqueName="[financials].[Sales].[All]" allUniqueName="[financials].[Sales].[All]" dimensionUniqueName="[financials]" displayFolder="" count="0" memberValueDatatype="5" unbalanced="0"/>
    <cacheHierarchy uniqueName="[financials].[COGS]" caption="COGS" attribute="1" defaultMemberUniqueName="[financials].[COGS].[All]" allUniqueName="[financials].[COGS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2" memberValueDatatype="130" unbalanced="0">
      <fieldsUsage count="2">
        <fieldUsage x="-1"/>
        <fieldUsage x="0"/>
      </fieldsUsage>
    </cacheHierarchy>
    <cacheHierarchy uniqueName="[financials].[Year]" caption="Year" attribute="1" defaultMemberUniqueName="[financials].[Year].[All]" allUniqueName="[financials].[Year].[All]" dimensionUniqueName="[financials]" displayFolder="" count="0" memberValueDatatype="20" unbalanced="0"/>
    <cacheHierarchy uniqueName="[financials].[Total_Expenses]" caption="Total_Expenses" attribute="1" defaultMemberUniqueName="[financials].[Total_Expenses].[All]" allUniqueName="[financials].[Total_Expenses].[All]" dimensionUniqueName="[financials]" displayFolder="" count="0" memberValueDatatype="5" unbalanced="0"/>
    <cacheHierarchy uniqueName="[financials].[Calculated_Profit]" caption="Calculated_Profit" attribute="1" defaultMemberUniqueName="[financials].[Calculated_Profit].[All]" allUniqueName="[financials].[Calculated_Profit].[All]" dimensionUniqueName="[financials]" displayFolder="" count="0" memberValueDatatype="20" unbalanced="0"/>
    <cacheHierarchy uniqueName="[financials].[Sales_Zscore]" caption="Sales_Zscore" attribute="1" defaultMemberUniqueName="[financials].[Sales_Zscore].[All]" allUniqueName="[financials].[Sales_Zscore].[All]" dimensionUniqueName="[financials]" displayFolder="" count="0" memberValueDatatype="5" unbalanced="0"/>
    <cacheHierarchy uniqueName="[financials].[Sales_Anomaly]" caption="Sales_Anomaly" attribute="1" defaultMemberUniqueName="[financials].[Sales_Anomaly].[All]" allUniqueName="[financials].[Sales_Anomaly].[All]" dimensionUniqueName="[financials]" displayFolder="" count="0" memberValueDatatype="130" unbalanced="0"/>
    <cacheHierarchy uniqueName="[financials].[Expense_ZScore]" caption="Expense_ZScore" attribute="1" defaultMemberUniqueName="[financials].[Expense_ZScore].[All]" allUniqueName="[financials].[Expense_ZScore].[All]" dimensionUniqueName="[financials]" displayFolder="" count="0" memberValueDatatype="20" unbalanced="0"/>
    <cacheHierarchy uniqueName="[financials].[Expense_Anomaly]" caption="Expense_Anomaly" attribute="1" defaultMemberUniqueName="[financials].[Expense_Anomaly].[All]" allUniqueName="[financials].[Expense_Anomaly].[All]" dimensionUniqueName="[financials]" displayFolder="" count="0" memberValueDatatype="130" unbalanced="0"/>
    <cacheHierarchy uniqueName="[financials].[Profit_ZScore]" caption="Profit_ZScore" attribute="1" defaultMemberUniqueName="[financials].[Profit_ZScore].[All]" allUniqueName="[financials].[Profit_ZScore].[All]" dimensionUniqueName="[financials]" displayFolder="" count="0" memberValueDatatype="20" unbalanced="0"/>
    <cacheHierarchy uniqueName="[financials].[Profit_Anomaly]" caption="Profit_Anomaly" attribute="1" defaultMemberUniqueName="[financials].[Profit_Anomaly].[All]" allUniqueName="[financials].[Profit_Anomaly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  <cacheHierarchy uniqueName="[Measures].[Count of Sales_Anomaly]" caption="Count of Sales_Anomaly" measure="1" displayFolder="" measureGroup="financia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Expense_Anomaly]" caption="Count of Expense_Anomaly" measure="1" displayFolder="" measureGroup="financia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fit_Anomaly]" caption="Count of Profit_Anomaly" measure="1" displayFolder="" measureGroup="financial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0"/>
    <n v="32370"/>
    <n v="16185"/>
    <n v="16185"/>
    <d v="2014-01-01T00:00:00"/>
    <x v="0"/>
    <x v="0"/>
    <x v="0"/>
    <n v="16185"/>
    <n v="0"/>
  </r>
  <r>
    <n v="0"/>
    <n v="26420"/>
    <n v="13210"/>
    <n v="13210"/>
    <d v="2014-01-01T00:00:00"/>
    <x v="0"/>
    <x v="0"/>
    <x v="0"/>
    <n v="13210"/>
    <n v="0"/>
  </r>
  <r>
    <n v="0"/>
    <n v="32670"/>
    <n v="21780"/>
    <n v="10890"/>
    <d v="2014-06-01T00:00:00"/>
    <x v="1"/>
    <x v="1"/>
    <x v="0"/>
    <n v="21780"/>
    <n v="0"/>
  </r>
  <r>
    <n v="0"/>
    <n v="13320"/>
    <n v="8880"/>
    <n v="4440"/>
    <d v="2014-06-01T00:00:00"/>
    <x v="1"/>
    <x v="1"/>
    <x v="0"/>
    <n v="8880"/>
    <n v="0"/>
  </r>
  <r>
    <n v="0"/>
    <n v="37050"/>
    <n v="24700"/>
    <n v="12350"/>
    <d v="2014-06-01T00:00:00"/>
    <x v="1"/>
    <x v="1"/>
    <x v="0"/>
    <n v="24700"/>
    <n v="0"/>
  </r>
  <r>
    <n v="0"/>
    <n v="529550"/>
    <n v="393380"/>
    <n v="136170"/>
    <d v="2014-12-01T00:00:00"/>
    <x v="2"/>
    <x v="2"/>
    <x v="0"/>
    <n v="393380"/>
    <n v="0"/>
  </r>
  <r>
    <n v="0"/>
    <n v="13815"/>
    <n v="9210"/>
    <n v="4605"/>
    <d v="2014-03-01T00:00:00"/>
    <x v="3"/>
    <x v="3"/>
    <x v="0"/>
    <n v="9210"/>
    <n v="0"/>
  </r>
  <r>
    <n v="0"/>
    <n v="30216"/>
    <n v="7554"/>
    <n v="22662"/>
    <d v="2014-06-01T00:00:00"/>
    <x v="1"/>
    <x v="1"/>
    <x v="0"/>
    <n v="7554"/>
    <n v="0"/>
  </r>
  <r>
    <n v="0"/>
    <n v="37980"/>
    <n v="18990"/>
    <n v="18990"/>
    <d v="2014-06-01T00:00:00"/>
    <x v="1"/>
    <x v="1"/>
    <x v="0"/>
    <n v="18990"/>
    <n v="0"/>
  </r>
  <r>
    <n v="0"/>
    <n v="18540"/>
    <n v="4635"/>
    <n v="13905"/>
    <d v="2014-06-01T00:00:00"/>
    <x v="1"/>
    <x v="1"/>
    <x v="0"/>
    <n v="4635"/>
    <n v="0"/>
  </r>
  <r>
    <n v="0"/>
    <n v="37050"/>
    <n v="24700"/>
    <n v="12350"/>
    <d v="2014-06-01T00:00:00"/>
    <x v="1"/>
    <x v="1"/>
    <x v="0"/>
    <n v="24700"/>
    <n v="0"/>
  </r>
  <r>
    <n v="0"/>
    <n v="333187.5"/>
    <n v="319860"/>
    <n v="13327.5"/>
    <d v="2014-07-01T00:00:00"/>
    <x v="4"/>
    <x v="4"/>
    <x v="0"/>
    <n v="319860"/>
    <n v="0"/>
  </r>
  <r>
    <n v="0"/>
    <n v="287400"/>
    <n v="239500"/>
    <n v="47900"/>
    <d v="2014-08-01T00:00:00"/>
    <x v="5"/>
    <x v="5"/>
    <x v="0"/>
    <n v="239500"/>
    <n v="0"/>
  </r>
  <r>
    <n v="0"/>
    <n v="15022"/>
    <n v="10730"/>
    <n v="4292"/>
    <d v="2014-09-01T00:00:00"/>
    <x v="6"/>
    <x v="6"/>
    <x v="0"/>
    <n v="10730"/>
    <n v="0"/>
  </r>
  <r>
    <n v="0"/>
    <n v="43125"/>
    <n v="41400"/>
    <n v="1725"/>
    <d v="2013-10-01T00:00:00"/>
    <x v="7"/>
    <x v="7"/>
    <x v="1"/>
    <n v="41400"/>
    <n v="0"/>
  </r>
  <r>
    <n v="0"/>
    <n v="9225"/>
    <n v="6150"/>
    <n v="3075"/>
    <d v="2014-12-01T00:00:00"/>
    <x v="2"/>
    <x v="2"/>
    <x v="0"/>
    <n v="6150"/>
    <n v="0"/>
  </r>
  <r>
    <n v="0"/>
    <n v="5840"/>
    <n v="2920"/>
    <n v="2920"/>
    <d v="2014-02-01T00:00:00"/>
    <x v="8"/>
    <x v="8"/>
    <x v="0"/>
    <n v="2920"/>
    <n v="0"/>
  </r>
  <r>
    <n v="0"/>
    <n v="14610"/>
    <n v="9740"/>
    <n v="4870"/>
    <d v="2014-02-01T00:00:00"/>
    <x v="8"/>
    <x v="8"/>
    <x v="0"/>
    <n v="9740"/>
    <n v="0"/>
  </r>
  <r>
    <n v="0"/>
    <n v="30216"/>
    <n v="7554"/>
    <n v="22662"/>
    <d v="2014-06-01T00:00:00"/>
    <x v="1"/>
    <x v="1"/>
    <x v="0"/>
    <n v="7554"/>
    <n v="0"/>
  </r>
  <r>
    <n v="0"/>
    <n v="352100"/>
    <n v="261560"/>
    <n v="90540"/>
    <d v="2014-06-01T00:00:00"/>
    <x v="1"/>
    <x v="1"/>
    <x v="0"/>
    <n v="261560"/>
    <n v="0"/>
  </r>
  <r>
    <n v="0"/>
    <n v="4404"/>
    <n v="1101"/>
    <n v="3303"/>
    <d v="2014-07-01T00:00:00"/>
    <x v="4"/>
    <x v="4"/>
    <x v="0"/>
    <n v="1101"/>
    <n v="0"/>
  </r>
  <r>
    <n v="0"/>
    <n v="6181"/>
    <n v="4415"/>
    <n v="1766"/>
    <d v="2014-08-01T00:00:00"/>
    <x v="5"/>
    <x v="5"/>
    <x v="0"/>
    <n v="4415"/>
    <n v="0"/>
  </r>
  <r>
    <n v="0"/>
    <n v="8235"/>
    <n v="5490"/>
    <n v="2745"/>
    <d v="2013-09-01T00:00:00"/>
    <x v="6"/>
    <x v="6"/>
    <x v="1"/>
    <n v="5490"/>
    <n v="0"/>
  </r>
  <r>
    <n v="0"/>
    <n v="236400"/>
    <n v="197000"/>
    <n v="39400"/>
    <d v="2013-09-01T00:00:00"/>
    <x v="6"/>
    <x v="6"/>
    <x v="1"/>
    <n v="197000"/>
    <n v="0"/>
  </r>
  <r>
    <n v="0"/>
    <n v="37080"/>
    <n v="24720"/>
    <n v="12360"/>
    <d v="2014-09-01T00:00:00"/>
    <x v="6"/>
    <x v="6"/>
    <x v="0"/>
    <n v="24720"/>
    <n v="0"/>
  </r>
  <r>
    <n v="0"/>
    <n v="8001"/>
    <n v="5715"/>
    <n v="2286"/>
    <d v="2014-10-01T00:00:00"/>
    <x v="7"/>
    <x v="7"/>
    <x v="0"/>
    <n v="5715"/>
    <n v="0"/>
  </r>
  <r>
    <n v="0"/>
    <n v="603750"/>
    <n v="448500"/>
    <n v="155250"/>
    <d v="2013-11-01T00:00:00"/>
    <x v="9"/>
    <x v="9"/>
    <x v="1"/>
    <n v="448500"/>
    <n v="0"/>
  </r>
  <r>
    <n v="0"/>
    <n v="10944"/>
    <n v="2736"/>
    <n v="8208"/>
    <d v="2013-11-01T00:00:00"/>
    <x v="9"/>
    <x v="9"/>
    <x v="1"/>
    <n v="2736"/>
    <n v="0"/>
  </r>
  <r>
    <n v="0"/>
    <n v="32280"/>
    <n v="21520"/>
    <n v="10760"/>
    <d v="2013-12-01T00:00:00"/>
    <x v="2"/>
    <x v="2"/>
    <x v="1"/>
    <n v="21520"/>
    <n v="0"/>
  </r>
  <r>
    <n v="0"/>
    <n v="36340"/>
    <n v="18170"/>
    <n v="18170"/>
    <d v="2014-12-01T00:00:00"/>
    <x v="2"/>
    <x v="2"/>
    <x v="0"/>
    <n v="18170"/>
    <n v="0"/>
  </r>
  <r>
    <n v="0"/>
    <n v="529550"/>
    <n v="393380"/>
    <n v="136170"/>
    <d v="2014-12-01T00:00:00"/>
    <x v="2"/>
    <x v="2"/>
    <x v="0"/>
    <n v="393380"/>
    <n v="0"/>
  </r>
  <r>
    <n v="0"/>
    <n v="10451"/>
    <n v="7465"/>
    <n v="2986"/>
    <d v="2014-01-01T00:00:00"/>
    <x v="0"/>
    <x v="0"/>
    <x v="0"/>
    <n v="7465"/>
    <n v="0"/>
  </r>
  <r>
    <n v="0"/>
    <n v="225500"/>
    <n v="216480"/>
    <n v="9020"/>
    <d v="2014-02-01T00:00:00"/>
    <x v="8"/>
    <x v="8"/>
    <x v="0"/>
    <n v="216480"/>
    <n v="0"/>
  </r>
  <r>
    <n v="0"/>
    <n v="25932"/>
    <n v="6483"/>
    <n v="19449"/>
    <d v="2014-03-01T00:00:00"/>
    <x v="3"/>
    <x v="3"/>
    <x v="0"/>
    <n v="6483"/>
    <n v="0"/>
  </r>
  <r>
    <n v="0"/>
    <n v="352100"/>
    <n v="261560"/>
    <n v="90540"/>
    <d v="2014-06-01T00:00:00"/>
    <x v="1"/>
    <x v="1"/>
    <x v="0"/>
    <n v="261560"/>
    <n v="0"/>
  </r>
  <r>
    <n v="0"/>
    <n v="18540"/>
    <n v="4635"/>
    <n v="13905"/>
    <d v="2014-06-01T00:00:00"/>
    <x v="1"/>
    <x v="1"/>
    <x v="0"/>
    <n v="4635"/>
    <n v="0"/>
  </r>
  <r>
    <n v="0"/>
    <n v="352625"/>
    <n v="338520"/>
    <n v="14105"/>
    <d v="2014-08-01T00:00:00"/>
    <x v="5"/>
    <x v="5"/>
    <x v="0"/>
    <n v="338520"/>
    <n v="0"/>
  </r>
  <r>
    <n v="0"/>
    <n v="43125"/>
    <n v="41400"/>
    <n v="1725"/>
    <d v="2013-10-01T00:00:00"/>
    <x v="7"/>
    <x v="7"/>
    <x v="1"/>
    <n v="41400"/>
    <n v="0"/>
  </r>
  <r>
    <n v="0"/>
    <n v="600300"/>
    <n v="500250"/>
    <n v="100050"/>
    <d v="2014-02-01T00:00:00"/>
    <x v="8"/>
    <x v="8"/>
    <x v="0"/>
    <n v="500250"/>
    <n v="0"/>
  </r>
  <r>
    <n v="0"/>
    <n v="34056"/>
    <n v="8514"/>
    <n v="25542"/>
    <d v="2014-04-01T00:00:00"/>
    <x v="10"/>
    <x v="10"/>
    <x v="0"/>
    <n v="8514"/>
    <n v="0"/>
  </r>
  <r>
    <n v="0"/>
    <n v="32670"/>
    <n v="21780"/>
    <n v="10890"/>
    <d v="2014-06-01T00:00:00"/>
    <x v="1"/>
    <x v="1"/>
    <x v="0"/>
    <n v="21780"/>
    <n v="0"/>
  </r>
  <r>
    <n v="0"/>
    <n v="13320"/>
    <n v="8880"/>
    <n v="4440"/>
    <d v="2014-06-01T00:00:00"/>
    <x v="1"/>
    <x v="1"/>
    <x v="0"/>
    <n v="8880"/>
    <n v="0"/>
  </r>
  <r>
    <n v="0"/>
    <n v="534450"/>
    <n v="397020"/>
    <n v="137430"/>
    <d v="2013-09-01T00:00:00"/>
    <x v="6"/>
    <x v="6"/>
    <x v="1"/>
    <n v="397020"/>
    <n v="0"/>
  </r>
  <r>
    <n v="0"/>
    <n v="645300"/>
    <n v="537750"/>
    <n v="107550"/>
    <d v="2014-09-01T00:00:00"/>
    <x v="6"/>
    <x v="6"/>
    <x v="0"/>
    <n v="537750"/>
    <n v="0"/>
  </r>
  <r>
    <n v="0"/>
    <n v="36340"/>
    <n v="18170"/>
    <n v="18170"/>
    <d v="2014-12-01T00:00:00"/>
    <x v="2"/>
    <x v="2"/>
    <x v="0"/>
    <n v="18170"/>
    <n v="0"/>
  </r>
  <r>
    <n v="0"/>
    <n v="962500"/>
    <n v="715000"/>
    <n v="247500"/>
    <d v="2014-02-01T00:00:00"/>
    <x v="8"/>
    <x v="8"/>
    <x v="0"/>
    <n v="715000"/>
    <n v="0"/>
  </r>
  <r>
    <n v="0"/>
    <n v="23436"/>
    <n v="5859"/>
    <n v="17577"/>
    <d v="2014-04-01T00:00:00"/>
    <x v="10"/>
    <x v="10"/>
    <x v="0"/>
    <n v="5859"/>
    <n v="0"/>
  </r>
  <r>
    <n v="0"/>
    <n v="527437.5"/>
    <n v="506340"/>
    <n v="21097.5"/>
    <d v="2014-04-01T00:00:00"/>
    <x v="10"/>
    <x v="10"/>
    <x v="0"/>
    <n v="506340"/>
    <n v="0"/>
  </r>
  <r>
    <n v="0"/>
    <n v="37980"/>
    <n v="18990"/>
    <n v="18990"/>
    <d v="2014-06-01T00:00:00"/>
    <x v="1"/>
    <x v="1"/>
    <x v="0"/>
    <n v="18990"/>
    <n v="0"/>
  </r>
  <r>
    <n v="0"/>
    <n v="11802"/>
    <n v="8430"/>
    <n v="3372"/>
    <d v="2014-07-01T00:00:00"/>
    <x v="4"/>
    <x v="4"/>
    <x v="0"/>
    <n v="8430"/>
    <n v="0"/>
  </r>
  <r>
    <n v="0"/>
    <n v="25692"/>
    <n v="6423"/>
    <n v="19269"/>
    <d v="2014-08-01T00:00:00"/>
    <x v="5"/>
    <x v="5"/>
    <x v="0"/>
    <n v="6423"/>
    <n v="0"/>
  </r>
  <r>
    <n v="0"/>
    <n v="8001"/>
    <n v="5715"/>
    <n v="2286"/>
    <d v="2014-10-01T00:00:00"/>
    <x v="7"/>
    <x v="7"/>
    <x v="0"/>
    <n v="5715"/>
    <n v="0"/>
  </r>
  <r>
    <n v="0"/>
    <n v="9225"/>
    <n v="6150"/>
    <n v="3075"/>
    <d v="2014-12-01T00:00:00"/>
    <x v="2"/>
    <x v="2"/>
    <x v="0"/>
    <n v="6150"/>
    <n v="0"/>
  </r>
  <r>
    <n v="276.14999999999998"/>
    <n v="27338.850000000002"/>
    <n v="19725"/>
    <n v="7613.8500000000022"/>
    <d v="2014-01-01T00:00:00"/>
    <x v="0"/>
    <x v="0"/>
    <x v="0"/>
    <n v="20001.150000000001"/>
    <n v="0"/>
  </r>
  <r>
    <n v="344.4"/>
    <n v="34095.599999999999"/>
    <n v="22960"/>
    <n v="11135.599999999999"/>
    <d v="2014-02-01T00:00:00"/>
    <x v="8"/>
    <x v="8"/>
    <x v="0"/>
    <n v="23304.400000000001"/>
    <n v="0"/>
  </r>
  <r>
    <n v="72.099999999999994"/>
    <n v="7137.9"/>
    <n v="5150"/>
    <n v="1987.8999999999996"/>
    <d v="2014-05-01T00:00:00"/>
    <x v="11"/>
    <x v="11"/>
    <x v="0"/>
    <n v="5222.1000000000004"/>
    <n v="0"/>
  </r>
  <r>
    <n v="44.73"/>
    <n v="4428.2700000000004"/>
    <n v="3195"/>
    <n v="1233.2700000000004"/>
    <d v="2014-11-01T00:00:00"/>
    <x v="9"/>
    <x v="9"/>
    <x v="0"/>
    <n v="3239.73"/>
    <n v="0"/>
  </r>
  <r>
    <n v="92.82"/>
    <n v="9189.18"/>
    <n v="6630"/>
    <n v="2559.1800000000003"/>
    <d v="2014-03-01T00:00:00"/>
    <x v="3"/>
    <x v="3"/>
    <x v="0"/>
    <n v="6722.82"/>
    <n v="0"/>
  </r>
  <r>
    <n v="222.96"/>
    <n v="22073.040000000001"/>
    <n v="5574"/>
    <n v="16499.04"/>
    <d v="2014-02-01T00:00:00"/>
    <x v="8"/>
    <x v="8"/>
    <x v="0"/>
    <n v="5796.96"/>
    <n v="0"/>
  </r>
  <r>
    <n v="4235"/>
    <n v="419265"/>
    <n v="314600"/>
    <n v="104665"/>
    <d v="2014-03-01T00:00:00"/>
    <x v="3"/>
    <x v="3"/>
    <x v="0"/>
    <n v="318835"/>
    <n v="0"/>
  </r>
  <r>
    <n v="177.03"/>
    <n v="17525.97"/>
    <n v="12645"/>
    <n v="4880.9699999999993"/>
    <d v="2014-07-01T00:00:00"/>
    <x v="4"/>
    <x v="4"/>
    <x v="0"/>
    <n v="12822.03"/>
    <n v="0"/>
  </r>
  <r>
    <n v="173.4"/>
    <n v="17166.599999999999"/>
    <n v="4335"/>
    <n v="12831.599999999999"/>
    <d v="2014-09-01T00:00:00"/>
    <x v="6"/>
    <x v="6"/>
    <x v="0"/>
    <n v="4508.3999999999996"/>
    <n v="0"/>
  </r>
  <r>
    <n v="412.5"/>
    <n v="40837.5"/>
    <n v="39600"/>
    <n v="1237.5"/>
    <d v="2013-09-01T00:00:00"/>
    <x v="6"/>
    <x v="6"/>
    <x v="1"/>
    <n v="40012.5"/>
    <n v="0"/>
  </r>
  <r>
    <n v="320.52"/>
    <n v="31731.48"/>
    <n v="8013"/>
    <n v="23718.48"/>
    <d v="2014-09-01T00:00:00"/>
    <x v="6"/>
    <x v="6"/>
    <x v="0"/>
    <n v="8333.52"/>
    <n v="0"/>
  </r>
  <r>
    <n v="91.92"/>
    <n v="9100.08"/>
    <n v="2298"/>
    <n v="6802.08"/>
    <d v="2013-10-01T00:00:00"/>
    <x v="7"/>
    <x v="7"/>
    <x v="1"/>
    <n v="2389.92"/>
    <n v="0"/>
  </r>
  <r>
    <n v="1482"/>
    <n v="146718"/>
    <n v="123500"/>
    <n v="23218"/>
    <d v="2013-10-01T00:00:00"/>
    <x v="7"/>
    <x v="7"/>
    <x v="1"/>
    <n v="124982"/>
    <n v="0"/>
  </r>
  <r>
    <n v="4889.5"/>
    <n v="484060.5"/>
    <n v="363220"/>
    <n v="120840.5"/>
    <d v="2014-10-01T00:00:00"/>
    <x v="7"/>
    <x v="7"/>
    <x v="0"/>
    <n v="368109.5"/>
    <n v="0"/>
  </r>
  <r>
    <n v="7542.5"/>
    <n v="746707.5"/>
    <n v="560300"/>
    <n v="186407.5"/>
    <d v="2014-12-01T00:00:00"/>
    <x v="2"/>
    <x v="2"/>
    <x v="0"/>
    <n v="567842.5"/>
    <n v="0"/>
  </r>
  <r>
    <n v="332.1"/>
    <n v="32877.9"/>
    <n v="22140"/>
    <n v="10737.900000000001"/>
    <d v="2014-03-01T00:00:00"/>
    <x v="3"/>
    <x v="3"/>
    <x v="0"/>
    <n v="22472.1"/>
    <n v="0"/>
  </r>
  <r>
    <n v="6903"/>
    <n v="683397"/>
    <n v="575250"/>
    <n v="108147"/>
    <d v="2014-04-01T00:00:00"/>
    <x v="10"/>
    <x v="10"/>
    <x v="0"/>
    <n v="582153"/>
    <n v="0"/>
  </r>
  <r>
    <n v="275.10000000000002"/>
    <n v="27234.899999999998"/>
    <n v="13755"/>
    <n v="13479.899999999998"/>
    <d v="2014-07-01T00:00:00"/>
    <x v="4"/>
    <x v="4"/>
    <x v="0"/>
    <n v="14030.1"/>
    <n v="0"/>
  </r>
  <r>
    <n v="128.1"/>
    <n v="12681.9"/>
    <n v="9150"/>
    <n v="3531.8999999999996"/>
    <d v="2014-08-01T00:00:00"/>
    <x v="5"/>
    <x v="5"/>
    <x v="0"/>
    <n v="9278.1"/>
    <n v="0"/>
  </r>
  <r>
    <n v="7494"/>
    <n v="741906"/>
    <n v="624500"/>
    <n v="117406"/>
    <d v="2013-09-01T00:00:00"/>
    <x v="6"/>
    <x v="6"/>
    <x v="1"/>
    <n v="631994"/>
    <n v="0"/>
  </r>
  <r>
    <n v="828.75"/>
    <n v="82046.25"/>
    <n v="79560"/>
    <n v="2486.25"/>
    <d v="2013-10-01T00:00:00"/>
    <x v="7"/>
    <x v="7"/>
    <x v="1"/>
    <n v="80388.75"/>
    <n v="0"/>
  </r>
  <r>
    <n v="227.1"/>
    <n v="22482.9"/>
    <n v="15140"/>
    <n v="7342.9000000000015"/>
    <d v="2014-02-01T00:00:00"/>
    <x v="8"/>
    <x v="8"/>
    <x v="0"/>
    <n v="15367.1"/>
    <n v="0"/>
  </r>
  <r>
    <n v="314.47500000000002"/>
    <n v="31133.024999999998"/>
    <n v="22462.5"/>
    <n v="8670.5249999999978"/>
    <d v="2014-04-01T00:00:00"/>
    <x v="10"/>
    <x v="10"/>
    <x v="0"/>
    <n v="22776.974999999999"/>
    <n v="0"/>
  </r>
  <r>
    <n v="908.75"/>
    <n v="89966.25"/>
    <n v="87240"/>
    <n v="2726.25"/>
    <d v="2014-06-01T00:00:00"/>
    <x v="1"/>
    <x v="1"/>
    <x v="0"/>
    <n v="88148.75"/>
    <n v="0"/>
  </r>
  <r>
    <n v="983.75"/>
    <n v="97391.25"/>
    <n v="94440"/>
    <n v="2951.25"/>
    <d v="2014-06-01T00:00:00"/>
    <x v="1"/>
    <x v="1"/>
    <x v="0"/>
    <n v="95423.75"/>
    <n v="0"/>
  </r>
  <r>
    <n v="2278.75"/>
    <n v="225596.25"/>
    <n v="218760"/>
    <n v="6836.25"/>
    <d v="2014-07-01T00:00:00"/>
    <x v="4"/>
    <x v="4"/>
    <x v="0"/>
    <n v="221038.75"/>
    <n v="0"/>
  </r>
  <r>
    <n v="112.05"/>
    <n v="11092.95"/>
    <n v="7470"/>
    <n v="3622.9500000000007"/>
    <d v="2014-09-01T00:00:00"/>
    <x v="6"/>
    <x v="6"/>
    <x v="0"/>
    <n v="7582.05"/>
    <n v="0"/>
  </r>
  <r>
    <n v="91.92"/>
    <n v="9100.08"/>
    <n v="2298"/>
    <n v="6802.08"/>
    <d v="2013-10-01T00:00:00"/>
    <x v="7"/>
    <x v="7"/>
    <x v="1"/>
    <n v="2389.92"/>
    <n v="0"/>
  </r>
  <r>
    <n v="8715"/>
    <n v="862785"/>
    <n v="726250"/>
    <n v="136535"/>
    <d v="2014-11-01T00:00:00"/>
    <x v="9"/>
    <x v="9"/>
    <x v="0"/>
    <n v="734965"/>
    <n v="0"/>
  </r>
  <r>
    <n v="7542.5"/>
    <n v="746707.5"/>
    <n v="560300"/>
    <n v="186407.5"/>
    <d v="2014-12-01T00:00:00"/>
    <x v="2"/>
    <x v="2"/>
    <x v="0"/>
    <n v="567842.5"/>
    <n v="0"/>
  </r>
  <r>
    <n v="772.80000000000007"/>
    <n v="76507.200000000012"/>
    <n v="38640"/>
    <n v="37867.200000000004"/>
    <d v="2014-04-01T00:00:00"/>
    <x v="10"/>
    <x v="10"/>
    <x v="0"/>
    <n v="39412.800000000003"/>
    <n v="0"/>
  </r>
  <r>
    <n v="25.34"/>
    <n v="2508.66"/>
    <n v="1810"/>
    <n v="698.65999999999985"/>
    <d v="2014-05-01T00:00:00"/>
    <x v="11"/>
    <x v="11"/>
    <x v="0"/>
    <n v="1835.34"/>
    <n v="0"/>
  </r>
  <r>
    <n v="1153.75"/>
    <n v="114221.25"/>
    <n v="110760"/>
    <n v="3461.25"/>
    <d v="2014-08-01T00:00:00"/>
    <x v="5"/>
    <x v="5"/>
    <x v="0"/>
    <n v="111913.75"/>
    <n v="0"/>
  </r>
  <r>
    <n v="828.75"/>
    <n v="82046.25"/>
    <n v="79560"/>
    <n v="2486.25"/>
    <d v="2013-10-01T00:00:00"/>
    <x v="7"/>
    <x v="7"/>
    <x v="1"/>
    <n v="80388.75"/>
    <n v="0"/>
  </r>
  <r>
    <n v="146.44"/>
    <n v="14497.56"/>
    <n v="10460"/>
    <n v="4037.5599999999995"/>
    <d v="2013-11-01T00:00:00"/>
    <x v="9"/>
    <x v="9"/>
    <x v="1"/>
    <n v="10606.44"/>
    <n v="0"/>
  </r>
  <r>
    <n v="18.41"/>
    <n v="1822.59"/>
    <n v="1315"/>
    <n v="507.58999999999992"/>
    <d v="2014-03-01T00:00:00"/>
    <x v="3"/>
    <x v="3"/>
    <x v="0"/>
    <n v="1333.41"/>
    <n v="0"/>
  </r>
  <r>
    <n v="3302.25"/>
    <n v="326922.75"/>
    <n v="245310"/>
    <n v="81612.75"/>
    <d v="2014-04-01T00:00:00"/>
    <x v="10"/>
    <x v="10"/>
    <x v="0"/>
    <n v="248612.25"/>
    <n v="0"/>
  </r>
  <r>
    <n v="908.75"/>
    <n v="89966.25"/>
    <n v="87240"/>
    <n v="2726.25"/>
    <d v="2014-06-01T00:00:00"/>
    <x v="1"/>
    <x v="1"/>
    <x v="0"/>
    <n v="88148.75"/>
    <n v="0"/>
  </r>
  <r>
    <n v="983.75"/>
    <n v="97391.25"/>
    <n v="94440"/>
    <n v="2951.25"/>
    <d v="2014-06-01T00:00:00"/>
    <x v="1"/>
    <x v="1"/>
    <x v="0"/>
    <n v="95423.75"/>
    <n v="0"/>
  </r>
  <r>
    <n v="2958"/>
    <n v="292842"/>
    <n v="246500"/>
    <n v="46342"/>
    <d v="2014-09-01T00:00:00"/>
    <x v="6"/>
    <x v="6"/>
    <x v="0"/>
    <n v="249458"/>
    <n v="0"/>
  </r>
  <r>
    <n v="1482"/>
    <n v="146718"/>
    <n v="123500"/>
    <n v="23218"/>
    <d v="2013-10-01T00:00:00"/>
    <x v="7"/>
    <x v="7"/>
    <x v="1"/>
    <n v="124982"/>
    <n v="0"/>
  </r>
  <r>
    <n v="4889.5"/>
    <n v="484060.5"/>
    <n v="363220"/>
    <n v="120840.5"/>
    <d v="2014-10-01T00:00:00"/>
    <x v="7"/>
    <x v="7"/>
    <x v="0"/>
    <n v="368109.5"/>
    <n v="0"/>
  </r>
  <r>
    <n v="2180"/>
    <n v="215820"/>
    <n v="209280"/>
    <n v="6540"/>
    <d v="2014-11-01T00:00:00"/>
    <x v="9"/>
    <x v="9"/>
    <x v="0"/>
    <n v="211460"/>
    <n v="0"/>
  </r>
  <r>
    <n v="238.68"/>
    <n v="23629.32"/>
    <n v="5967"/>
    <n v="17662.32"/>
    <d v="2013-09-01T00:00:00"/>
    <x v="6"/>
    <x v="6"/>
    <x v="1"/>
    <n v="6205.68"/>
    <n v="0"/>
  </r>
  <r>
    <n v="48.15"/>
    <n v="4766.8500000000004"/>
    <n v="3210"/>
    <n v="1556.8500000000004"/>
    <d v="2013-11-01T00:00:00"/>
    <x v="9"/>
    <x v="9"/>
    <x v="1"/>
    <n v="3258.15"/>
    <n v="0"/>
  </r>
  <r>
    <n v="1856.25"/>
    <n v="90956.25"/>
    <n v="89100"/>
    <n v="1856.25"/>
    <d v="2014-04-01T00:00:00"/>
    <x v="10"/>
    <x v="10"/>
    <x v="0"/>
    <n v="90956.25"/>
    <n v="0"/>
  </r>
  <r>
    <n v="310.8"/>
    <n v="15229.2"/>
    <n v="3885"/>
    <n v="11344.2"/>
    <d v="2014-10-01T00:00:00"/>
    <x v="7"/>
    <x v="7"/>
    <x v="0"/>
    <n v="4195.8"/>
    <n v="0"/>
  </r>
  <r>
    <n v="1284"/>
    <n v="62916"/>
    <n v="53500"/>
    <n v="9416"/>
    <d v="2013-10-01T00:00:00"/>
    <x v="7"/>
    <x v="7"/>
    <x v="1"/>
    <n v="54784"/>
    <n v="0"/>
  </r>
  <r>
    <n v="300.3"/>
    <n v="14714.7"/>
    <n v="10725"/>
    <n v="3989.7000000000007"/>
    <d v="2013-11-01T00:00:00"/>
    <x v="9"/>
    <x v="9"/>
    <x v="1"/>
    <n v="11025.3"/>
    <n v="0"/>
  </r>
  <r>
    <n v="19964"/>
    <n v="978236"/>
    <n v="741520"/>
    <n v="236716"/>
    <d v="2014-12-01T00:00:00"/>
    <x v="2"/>
    <x v="2"/>
    <x v="0"/>
    <n v="761484"/>
    <n v="0"/>
  </r>
  <r>
    <n v="274.08"/>
    <n v="13429.92"/>
    <n v="3426"/>
    <n v="10003.92"/>
    <d v="2014-06-01T00:00:00"/>
    <x v="1"/>
    <x v="1"/>
    <x v="0"/>
    <n v="3700.08"/>
    <n v="0"/>
  </r>
  <r>
    <n v="626.4"/>
    <n v="30693.599999999999"/>
    <n v="15660"/>
    <n v="15033.599999999999"/>
    <d v="2014-10-01T00:00:00"/>
    <x v="7"/>
    <x v="7"/>
    <x v="0"/>
    <n v="16286.4"/>
    <n v="0"/>
  </r>
  <r>
    <n v="165.6"/>
    <n v="8114.4"/>
    <n v="2070"/>
    <n v="6044.4"/>
    <d v="2014-11-01T00:00:00"/>
    <x v="9"/>
    <x v="9"/>
    <x v="0"/>
    <n v="2235.6"/>
    <n v="0"/>
  </r>
  <r>
    <n v="4150"/>
    <n v="203350"/>
    <n v="199200"/>
    <n v="4150"/>
    <d v="2013-11-01T00:00:00"/>
    <x v="9"/>
    <x v="9"/>
    <x v="1"/>
    <n v="203350"/>
    <n v="0"/>
  </r>
  <r>
    <n v="708.9"/>
    <n v="34736.1"/>
    <n v="23630"/>
    <n v="11106.099999999999"/>
    <d v="2014-02-01T00:00:00"/>
    <x v="8"/>
    <x v="8"/>
    <x v="0"/>
    <n v="24338.9"/>
    <n v="0"/>
  </r>
  <r>
    <n v="5508"/>
    <n v="269892"/>
    <n v="229500"/>
    <n v="40392"/>
    <d v="2014-05-01T00:00:00"/>
    <x v="11"/>
    <x v="11"/>
    <x v="0"/>
    <n v="235008"/>
    <n v="0"/>
  </r>
  <r>
    <n v="10368"/>
    <n v="508032"/>
    <n v="432000"/>
    <n v="76032"/>
    <d v="2014-05-01T00:00:00"/>
    <x v="11"/>
    <x v="11"/>
    <x v="0"/>
    <n v="442368"/>
    <n v="0"/>
  </r>
  <r>
    <n v="274.08"/>
    <n v="13429.92"/>
    <n v="3426"/>
    <n v="10003.92"/>
    <d v="2014-06-01T00:00:00"/>
    <x v="1"/>
    <x v="1"/>
    <x v="0"/>
    <n v="3700.08"/>
    <n v="0"/>
  </r>
  <r>
    <n v="1655"/>
    <n v="81095"/>
    <n v="79440"/>
    <n v="1655"/>
    <d v="2014-06-01T00:00:00"/>
    <x v="1"/>
    <x v="1"/>
    <x v="0"/>
    <n v="81095"/>
    <n v="0"/>
  </r>
  <r>
    <n v="310.8"/>
    <n v="15229.2"/>
    <n v="3885"/>
    <n v="11344.2"/>
    <d v="2014-10-01T00:00:00"/>
    <x v="7"/>
    <x v="7"/>
    <x v="0"/>
    <n v="4195.8"/>
    <n v="0"/>
  </r>
  <r>
    <n v="2022.5"/>
    <n v="99102.5"/>
    <n v="97080"/>
    <n v="2022.5"/>
    <d v="2013-10-01T00:00:00"/>
    <x v="7"/>
    <x v="7"/>
    <x v="1"/>
    <n v="99102.5"/>
    <n v="0"/>
  </r>
  <r>
    <n v="5362.5"/>
    <n v="262762.5"/>
    <n v="257400"/>
    <n v="5362.5"/>
    <d v="2013-10-01T00:00:00"/>
    <x v="7"/>
    <x v="7"/>
    <x v="1"/>
    <n v="262762.5"/>
    <n v="0"/>
  </r>
  <r>
    <n v="428.4"/>
    <n v="20991.599999999999"/>
    <n v="5355"/>
    <n v="15636.599999999999"/>
    <d v="2013-11-01T00:00:00"/>
    <x v="9"/>
    <x v="9"/>
    <x v="1"/>
    <n v="5783.4"/>
    <n v="0"/>
  </r>
  <r>
    <n v="11496"/>
    <n v="563304"/>
    <n v="479000"/>
    <n v="84304"/>
    <d v="2014-12-01T00:00:00"/>
    <x v="2"/>
    <x v="2"/>
    <x v="0"/>
    <n v="490496"/>
    <n v="0"/>
  </r>
  <r>
    <n v="19964"/>
    <n v="978236"/>
    <n v="741520"/>
    <n v="236716"/>
    <d v="2014-12-01T00:00:00"/>
    <x v="2"/>
    <x v="2"/>
    <x v="0"/>
    <n v="761484"/>
    <n v="0"/>
  </r>
  <r>
    <n v="6822.5"/>
    <n v="334302.5"/>
    <n v="327480"/>
    <n v="6822.5"/>
    <d v="2014-12-01T00:00:00"/>
    <x v="2"/>
    <x v="2"/>
    <x v="0"/>
    <n v="334302.5"/>
    <n v="0"/>
  </r>
  <r>
    <n v="577.5"/>
    <n v="28297.5"/>
    <n v="19250"/>
    <n v="9047.5"/>
    <d v="2013-12-01T00:00:00"/>
    <x v="2"/>
    <x v="2"/>
    <x v="1"/>
    <n v="19827.5"/>
    <n v="0"/>
  </r>
  <r>
    <n v="281.82"/>
    <n v="13809.18"/>
    <n v="10065"/>
    <n v="3744.1800000000003"/>
    <d v="2013-12-01T00:00:00"/>
    <x v="2"/>
    <x v="2"/>
    <x v="1"/>
    <n v="10346.82"/>
    <n v="0"/>
  </r>
  <r>
    <n v="253.2"/>
    <n v="12406.8"/>
    <n v="3165"/>
    <n v="9241.7999999999993"/>
    <d v="2014-12-01T00:00:00"/>
    <x v="2"/>
    <x v="2"/>
    <x v="0"/>
    <n v="3418.2"/>
    <n v="0"/>
  </r>
  <r>
    <n v="260.16000000000003"/>
    <n v="12747.84"/>
    <n v="3252"/>
    <n v="9495.84"/>
    <d v="2014-12-01T00:00:00"/>
    <x v="2"/>
    <x v="2"/>
    <x v="0"/>
    <n v="3512.16"/>
    <n v="0"/>
  </r>
  <r>
    <n v="626.4"/>
    <n v="30693.599999999999"/>
    <n v="15660"/>
    <n v="15033.599999999999"/>
    <d v="2014-10-01T00:00:00"/>
    <x v="7"/>
    <x v="7"/>
    <x v="0"/>
    <n v="16286.4"/>
    <n v="0"/>
  </r>
  <r>
    <n v="20762"/>
    <n v="1017338"/>
    <n v="771160"/>
    <n v="246178"/>
    <d v="2013-10-01T00:00:00"/>
    <x v="7"/>
    <x v="7"/>
    <x v="1"/>
    <n v="791922"/>
    <n v="0"/>
  </r>
  <r>
    <n v="20139"/>
    <n v="986811"/>
    <n v="748020"/>
    <n v="238791"/>
    <d v="2014-10-01T00:00:00"/>
    <x v="7"/>
    <x v="7"/>
    <x v="0"/>
    <n v="768159"/>
    <n v="0"/>
  </r>
  <r>
    <n v="2022.5"/>
    <n v="99102.5"/>
    <n v="97080"/>
    <n v="2022.5"/>
    <d v="2013-10-01T00:00:00"/>
    <x v="7"/>
    <x v="7"/>
    <x v="1"/>
    <n v="99102.5"/>
    <n v="0"/>
  </r>
  <r>
    <n v="5362.5"/>
    <n v="262762.5"/>
    <n v="257400"/>
    <n v="5362.5"/>
    <d v="2013-10-01T00:00:00"/>
    <x v="7"/>
    <x v="7"/>
    <x v="1"/>
    <n v="262762.5"/>
    <n v="0"/>
  </r>
  <r>
    <n v="253.2"/>
    <n v="12406.8"/>
    <n v="3165"/>
    <n v="9241.7999999999993"/>
    <d v="2014-12-01T00:00:00"/>
    <x v="2"/>
    <x v="2"/>
    <x v="0"/>
    <n v="3418.2"/>
    <n v="0"/>
  </r>
  <r>
    <n v="217.6"/>
    <n v="10662.4"/>
    <n v="5440"/>
    <n v="5222.3999999999996"/>
    <d v="2013-12-01T00:00:00"/>
    <x v="2"/>
    <x v="2"/>
    <x v="1"/>
    <n v="5657.6"/>
    <n v="0"/>
  </r>
  <r>
    <n v="260.16000000000003"/>
    <n v="12747.84"/>
    <n v="3252"/>
    <n v="9495.84"/>
    <d v="2014-12-01T00:00:00"/>
    <x v="2"/>
    <x v="2"/>
    <x v="0"/>
    <n v="3512.16"/>
    <n v="0"/>
  </r>
  <r>
    <n v="1655"/>
    <n v="81095"/>
    <n v="79440"/>
    <n v="1655"/>
    <d v="2014-06-01T00:00:00"/>
    <x v="1"/>
    <x v="1"/>
    <x v="0"/>
    <n v="81095"/>
    <n v="0"/>
  </r>
  <r>
    <n v="1284"/>
    <n v="62916"/>
    <n v="53500"/>
    <n v="9416"/>
    <d v="2013-10-01T00:00:00"/>
    <x v="7"/>
    <x v="7"/>
    <x v="1"/>
    <n v="54784"/>
    <n v="0"/>
  </r>
  <r>
    <n v="20139"/>
    <n v="986811"/>
    <n v="748020"/>
    <n v="238791"/>
    <d v="2014-10-01T00:00:00"/>
    <x v="7"/>
    <x v="7"/>
    <x v="0"/>
    <n v="768159"/>
    <n v="0"/>
  </r>
  <r>
    <n v="6822.5"/>
    <n v="334302.5"/>
    <n v="327480"/>
    <n v="6822.5"/>
    <d v="2014-12-01T00:00:00"/>
    <x v="2"/>
    <x v="2"/>
    <x v="0"/>
    <n v="334302.5"/>
    <n v="0"/>
  </r>
  <r>
    <n v="1862"/>
    <n v="91238"/>
    <n v="69160"/>
    <n v="22078"/>
    <d v="2013-12-01T00:00:00"/>
    <x v="2"/>
    <x v="2"/>
    <x v="1"/>
    <n v="71022"/>
    <n v="0"/>
  </r>
  <r>
    <n v="13580"/>
    <n v="665420"/>
    <n v="504400"/>
    <n v="161020"/>
    <d v="2013-12-01T00:00:00"/>
    <x v="2"/>
    <x v="2"/>
    <x v="1"/>
    <n v="517980"/>
    <n v="0"/>
  </r>
  <r>
    <n v="1554"/>
    <n v="76146"/>
    <n v="64750"/>
    <n v="11396"/>
    <d v="2014-03-01T00:00:00"/>
    <x v="3"/>
    <x v="3"/>
    <x v="0"/>
    <n v="66304"/>
    <n v="0"/>
  </r>
  <r>
    <n v="6606"/>
    <n v="323694"/>
    <n v="275250"/>
    <n v="48444"/>
    <d v="2014-03-01T00:00:00"/>
    <x v="3"/>
    <x v="3"/>
    <x v="0"/>
    <n v="281856"/>
    <n v="0"/>
  </r>
  <r>
    <n v="5690"/>
    <n v="278810"/>
    <n v="273120"/>
    <n v="5690"/>
    <d v="2014-05-01T00:00:00"/>
    <x v="11"/>
    <x v="11"/>
    <x v="0"/>
    <n v="278810"/>
    <n v="0"/>
  </r>
  <r>
    <n v="20762"/>
    <n v="1017338"/>
    <n v="771160"/>
    <n v="246178"/>
    <d v="2013-10-01T00:00:00"/>
    <x v="7"/>
    <x v="7"/>
    <x v="1"/>
    <n v="791922"/>
    <n v="0"/>
  </r>
  <r>
    <n v="494.4"/>
    <n v="24225.599999999999"/>
    <n v="12360"/>
    <n v="11865.599999999999"/>
    <d v="2014-11-01T00:00:00"/>
    <x v="9"/>
    <x v="9"/>
    <x v="0"/>
    <n v="12854.4"/>
    <n v="0"/>
  </r>
  <r>
    <n v="376.4"/>
    <n v="18443.599999999999"/>
    <n v="9410"/>
    <n v="9033.5999999999985"/>
    <d v="2014-11-01T00:00:00"/>
    <x v="9"/>
    <x v="9"/>
    <x v="0"/>
    <n v="9786.4"/>
    <n v="0"/>
  </r>
  <r>
    <n v="11496"/>
    <n v="563304"/>
    <n v="479000"/>
    <n v="84304"/>
    <d v="2014-12-01T00:00:00"/>
    <x v="2"/>
    <x v="2"/>
    <x v="0"/>
    <n v="490496"/>
    <n v="0"/>
  </r>
  <r>
    <n v="15913.125"/>
    <n v="514524.375"/>
    <n v="509220"/>
    <n v="5304.375"/>
    <d v="2014-04-01T00:00:00"/>
    <x v="10"/>
    <x v="10"/>
    <x v="0"/>
    <n v="525133.125"/>
    <n v="0"/>
  </r>
  <r>
    <n v="1548"/>
    <n v="50052"/>
    <n v="25800"/>
    <n v="24252"/>
    <d v="2014-04-01T00:00:00"/>
    <x v="10"/>
    <x v="10"/>
    <x v="0"/>
    <n v="27348"/>
    <n v="0"/>
  </r>
  <r>
    <n v="6201"/>
    <n v="200499"/>
    <n v="172250"/>
    <n v="28249"/>
    <d v="2014-06-01T00:00:00"/>
    <x v="1"/>
    <x v="1"/>
    <x v="0"/>
    <n v="178451"/>
    <n v="0"/>
  </r>
  <r>
    <n v="700.92"/>
    <n v="22663.08"/>
    <n v="5841"/>
    <n v="16822.080000000002"/>
    <d v="2014-09-01T00:00:00"/>
    <x v="6"/>
    <x v="6"/>
    <x v="0"/>
    <n v="6541.92"/>
    <n v="0"/>
  </r>
  <r>
    <n v="326.88"/>
    <n v="10569.12"/>
    <n v="2724"/>
    <n v="7845.1200000000008"/>
    <d v="2013-12-01T00:00:00"/>
    <x v="2"/>
    <x v="2"/>
    <x v="1"/>
    <n v="3050.88"/>
    <n v="0"/>
  </r>
  <r>
    <n v="411.18"/>
    <n v="13294.82"/>
    <n v="9790"/>
    <n v="3504.8199999999997"/>
    <d v="2014-02-01T00:00:00"/>
    <x v="8"/>
    <x v="8"/>
    <x v="0"/>
    <n v="10201.18"/>
    <n v="0"/>
  </r>
  <r>
    <n v="684.36"/>
    <n v="22127.64"/>
    <n v="5703"/>
    <n v="16424.64"/>
    <d v="2014-06-01T00:00:00"/>
    <x v="1"/>
    <x v="1"/>
    <x v="0"/>
    <n v="6387.36"/>
    <n v="0"/>
  </r>
  <r>
    <n v="114.24"/>
    <n v="3693.76"/>
    <n v="2720"/>
    <n v="973.76000000000022"/>
    <d v="2014-09-01T00:00:00"/>
    <x v="6"/>
    <x v="6"/>
    <x v="0"/>
    <n v="2834.24"/>
    <n v="0"/>
  </r>
  <r>
    <n v="18868.5"/>
    <n v="610081.5"/>
    <n v="467220"/>
    <n v="142861.5"/>
    <d v="2013-09-01T00:00:00"/>
    <x v="6"/>
    <x v="6"/>
    <x v="1"/>
    <n v="486088.5"/>
    <n v="0"/>
  </r>
  <r>
    <n v="4826.25"/>
    <n v="156048.75"/>
    <n v="154440"/>
    <n v="1608.75"/>
    <d v="2014-12-01T00:00:00"/>
    <x v="2"/>
    <x v="2"/>
    <x v="0"/>
    <n v="159266.25"/>
    <n v="0"/>
  </r>
  <r>
    <n v="6397.5"/>
    <n v="206852.5"/>
    <n v="204720"/>
    <n v="2132.5"/>
    <d v="2014-12-01T00:00:00"/>
    <x v="2"/>
    <x v="2"/>
    <x v="0"/>
    <n v="211117.5"/>
    <n v="0"/>
  </r>
  <r>
    <n v="21910.5"/>
    <n v="708439.5"/>
    <n v="608625"/>
    <n v="99814.5"/>
    <d v="2014-01-01T00:00:00"/>
    <x v="0"/>
    <x v="0"/>
    <x v="0"/>
    <n v="630535.5"/>
    <n v="0"/>
  </r>
  <r>
    <n v="6652.5"/>
    <n v="215097.5"/>
    <n v="212880"/>
    <n v="2217.5"/>
    <d v="2014-03-01T00:00:00"/>
    <x v="3"/>
    <x v="3"/>
    <x v="0"/>
    <n v="219532.5"/>
    <n v="0"/>
  </r>
  <r>
    <n v="684.36"/>
    <n v="22127.64"/>
    <n v="5703"/>
    <n v="16424.64"/>
    <d v="2014-06-01T00:00:00"/>
    <x v="1"/>
    <x v="1"/>
    <x v="0"/>
    <n v="6387.36"/>
    <n v="0"/>
  </r>
  <r>
    <n v="6201"/>
    <n v="200499"/>
    <n v="172250"/>
    <n v="28249"/>
    <d v="2014-06-01T00:00:00"/>
    <x v="1"/>
    <x v="1"/>
    <x v="0"/>
    <n v="178451"/>
    <n v="0"/>
  </r>
  <r>
    <n v="5887.5"/>
    <n v="190362.5"/>
    <n v="188400"/>
    <n v="1962.5"/>
    <d v="2014-06-01T00:00:00"/>
    <x v="1"/>
    <x v="1"/>
    <x v="0"/>
    <n v="194287.5"/>
    <n v="0"/>
  </r>
  <r>
    <n v="493.02"/>
    <n v="15940.98"/>
    <n v="4108.5"/>
    <n v="11832.48"/>
    <d v="2014-07-01T00:00:00"/>
    <x v="4"/>
    <x v="4"/>
    <x v="0"/>
    <n v="4601.5200000000004"/>
    <n v="0"/>
  </r>
  <r>
    <n v="7533.75"/>
    <n v="243591.25"/>
    <n v="241080"/>
    <n v="2511.25"/>
    <d v="2014-10-01T00:00:00"/>
    <x v="7"/>
    <x v="7"/>
    <x v="0"/>
    <n v="248613.75"/>
    <n v="0"/>
  </r>
  <r>
    <n v="875.25"/>
    <n v="28299.75"/>
    <n v="19450"/>
    <n v="8849.75"/>
    <d v="2013-10-01T00:00:00"/>
    <x v="7"/>
    <x v="7"/>
    <x v="1"/>
    <n v="20325.25"/>
    <n v="0"/>
  </r>
  <r>
    <n v="4826.25"/>
    <n v="156048.75"/>
    <n v="154440"/>
    <n v="1608.75"/>
    <d v="2014-12-01T00:00:00"/>
    <x v="2"/>
    <x v="2"/>
    <x v="0"/>
    <n v="159266.25"/>
    <n v="0"/>
  </r>
  <r>
    <n v="6397.5"/>
    <n v="206852.5"/>
    <n v="204720"/>
    <n v="2132.5"/>
    <d v="2014-12-01T00:00:00"/>
    <x v="2"/>
    <x v="2"/>
    <x v="0"/>
    <n v="211117.5"/>
    <n v="0"/>
  </r>
  <r>
    <n v="7533.75"/>
    <n v="243591.25"/>
    <n v="241080"/>
    <n v="2511.25"/>
    <d v="2014-10-01T00:00:00"/>
    <x v="7"/>
    <x v="7"/>
    <x v="0"/>
    <n v="248613.75"/>
    <n v="0"/>
  </r>
  <r>
    <n v="25596"/>
    <n v="827604"/>
    <n v="711000"/>
    <n v="116604"/>
    <d v="2014-02-01T00:00:00"/>
    <x v="8"/>
    <x v="8"/>
    <x v="0"/>
    <n v="736596"/>
    <n v="0"/>
  </r>
  <r>
    <n v="689.76"/>
    <n v="22302.240000000002"/>
    <n v="5748"/>
    <n v="16554.240000000002"/>
    <d v="2014-04-01T00:00:00"/>
    <x v="10"/>
    <x v="10"/>
    <x v="0"/>
    <n v="6437.76"/>
    <n v="0"/>
  </r>
  <r>
    <n v="5887.5"/>
    <n v="190362.5"/>
    <n v="188400"/>
    <n v="1962.5"/>
    <d v="2014-06-01T00:00:00"/>
    <x v="1"/>
    <x v="1"/>
    <x v="0"/>
    <n v="194287.5"/>
    <n v="0"/>
  </r>
  <r>
    <n v="16866"/>
    <n v="545334"/>
    <n v="468500"/>
    <n v="76834"/>
    <d v="2014-08-01T00:00:00"/>
    <x v="5"/>
    <x v="5"/>
    <x v="0"/>
    <n v="485366"/>
    <n v="0"/>
  </r>
  <r>
    <n v="17241"/>
    <n v="557459"/>
    <n v="426920"/>
    <n v="130539"/>
    <d v="2014-08-01T00:00:00"/>
    <x v="5"/>
    <x v="5"/>
    <x v="0"/>
    <n v="444161"/>
    <n v="0"/>
  </r>
  <r>
    <n v="875.25"/>
    <n v="28299.75"/>
    <n v="19450"/>
    <n v="8849.75"/>
    <d v="2013-10-01T00:00:00"/>
    <x v="7"/>
    <x v="7"/>
    <x v="1"/>
    <n v="20325.25"/>
    <n v="0"/>
  </r>
  <r>
    <n v="498.6"/>
    <n v="16121.4"/>
    <n v="8310"/>
    <n v="7811.4"/>
    <d v="2014-05-01T00:00:00"/>
    <x v="11"/>
    <x v="11"/>
    <x v="0"/>
    <n v="8808.6"/>
    <n v="0"/>
  </r>
  <r>
    <n v="369.6"/>
    <n v="11950.4"/>
    <n v="8800"/>
    <n v="3150.3999999999996"/>
    <d v="2013-09-01T00:00:00"/>
    <x v="6"/>
    <x v="6"/>
    <x v="1"/>
    <n v="9169.6"/>
    <n v="0"/>
  </r>
  <r>
    <n v="2310.3000000000002"/>
    <n v="74699.700000000012"/>
    <n v="38505"/>
    <n v="36194.700000000004"/>
    <d v="2014-04-01T00:00:00"/>
    <x v="10"/>
    <x v="10"/>
    <x v="0"/>
    <n v="40815.300000000003"/>
    <n v="0"/>
  </r>
  <r>
    <n v="892.44"/>
    <n v="28855.56"/>
    <n v="7437"/>
    <n v="21418.560000000001"/>
    <d v="2014-01-01T00:00:00"/>
    <x v="0"/>
    <x v="0"/>
    <x v="0"/>
    <n v="8329.44"/>
    <n v="0"/>
  </r>
  <r>
    <n v="1218.5999999999999"/>
    <n v="29246.400000000001"/>
    <n v="20310"/>
    <n v="8936.4000000000015"/>
    <d v="2014-10-01T00:00:00"/>
    <x v="7"/>
    <x v="7"/>
    <x v="0"/>
    <n v="21528.6"/>
    <n v="0"/>
  </r>
  <r>
    <n v="1218.5999999999999"/>
    <n v="29246.400000000001"/>
    <n v="20310"/>
    <n v="8936.4000000000015"/>
    <d v="2014-10-01T00:00:00"/>
    <x v="7"/>
    <x v="7"/>
    <x v="0"/>
    <n v="21528.6"/>
    <n v="0"/>
  </r>
  <r>
    <n v="1356.6"/>
    <n v="32558.400000000001"/>
    <n v="22610"/>
    <n v="9948.4000000000015"/>
    <d v="2013-12-01T00:00:00"/>
    <x v="2"/>
    <x v="2"/>
    <x v="1"/>
    <n v="23966.6"/>
    <n v="0"/>
  </r>
  <r>
    <n v="588.79999999999995"/>
    <n v="14131.2"/>
    <n v="7360"/>
    <n v="6771.2000000000007"/>
    <d v="2013-09-01T00:00:00"/>
    <x v="6"/>
    <x v="6"/>
    <x v="1"/>
    <n v="7948.8"/>
    <n v="0"/>
  </r>
  <r>
    <n v="798.28"/>
    <n v="19158.72"/>
    <n v="14255"/>
    <n v="4903.7200000000012"/>
    <d v="2013-10-01T00:00:00"/>
    <x v="7"/>
    <x v="7"/>
    <x v="1"/>
    <n v="15053.28"/>
    <n v="0"/>
  </r>
  <r>
    <n v="24252"/>
    <n v="582048"/>
    <n v="505250"/>
    <n v="76798"/>
    <d v="2014-10-01T00:00:00"/>
    <x v="7"/>
    <x v="7"/>
    <x v="0"/>
    <n v="529502"/>
    <n v="0"/>
  </r>
  <r>
    <n v="3836"/>
    <n v="92064"/>
    <n v="71240"/>
    <n v="20824"/>
    <d v="2014-12-01T00:00:00"/>
    <x v="2"/>
    <x v="2"/>
    <x v="0"/>
    <n v="75076"/>
    <n v="0"/>
  </r>
  <r>
    <n v="1180.2"/>
    <n v="28324.799999999999"/>
    <n v="19670"/>
    <n v="8654.7999999999993"/>
    <d v="2014-03-01T00:00:00"/>
    <x v="3"/>
    <x v="3"/>
    <x v="0"/>
    <n v="20850.2"/>
    <n v="0"/>
  </r>
  <r>
    <n v="22308"/>
    <n v="535392"/>
    <n v="464750"/>
    <n v="70642"/>
    <d v="2014-08-01T00:00:00"/>
    <x v="5"/>
    <x v="5"/>
    <x v="0"/>
    <n v="487058"/>
    <n v="0"/>
  </r>
  <r>
    <n v="798.28"/>
    <n v="19158.72"/>
    <n v="14255"/>
    <n v="4903.7200000000012"/>
    <d v="2013-10-01T00:00:00"/>
    <x v="7"/>
    <x v="7"/>
    <x v="1"/>
    <n v="15053.28"/>
    <n v="0"/>
  </r>
  <r>
    <n v="24252"/>
    <n v="582048"/>
    <n v="505250"/>
    <n v="76798"/>
    <d v="2014-10-01T00:00:00"/>
    <x v="7"/>
    <x v="7"/>
    <x v="0"/>
    <n v="529502"/>
    <n v="0"/>
  </r>
  <r>
    <n v="5690"/>
    <n v="136560"/>
    <n v="136560"/>
    <n v="0"/>
    <d v="2014-12-01T00:00:00"/>
    <x v="2"/>
    <x v="2"/>
    <x v="0"/>
    <n v="142250"/>
    <n v="0"/>
  </r>
  <r>
    <n v="1190.28"/>
    <n v="28566.720000000001"/>
    <n v="21255"/>
    <n v="7311.7199999999993"/>
    <d v="2014-01-01T00:00:00"/>
    <x v="0"/>
    <x v="0"/>
    <x v="0"/>
    <n v="22445.279999999999"/>
    <n v="0"/>
  </r>
  <r>
    <n v="3975"/>
    <n v="95400"/>
    <n v="95400"/>
    <n v="0"/>
    <d v="2014-03-01T00:00:00"/>
    <x v="3"/>
    <x v="3"/>
    <x v="0"/>
    <n v="99375"/>
    <n v="0"/>
  </r>
  <r>
    <n v="16974"/>
    <n v="407376"/>
    <n v="353625"/>
    <n v="53751"/>
    <d v="2014-04-01T00:00:00"/>
    <x v="10"/>
    <x v="10"/>
    <x v="0"/>
    <n v="370599"/>
    <n v="0"/>
  </r>
  <r>
    <n v="35016"/>
    <n v="840384"/>
    <n v="729500"/>
    <n v="110884"/>
    <d v="2014-05-01T00:00:00"/>
    <x v="11"/>
    <x v="11"/>
    <x v="0"/>
    <n v="764516"/>
    <n v="0"/>
  </r>
  <r>
    <n v="48300"/>
    <n v="1159200"/>
    <n v="897000"/>
    <n v="262200"/>
    <d v="2014-07-01T00:00:00"/>
    <x v="4"/>
    <x v="4"/>
    <x v="0"/>
    <n v="945300"/>
    <n v="0"/>
  </r>
  <r>
    <n v="14940"/>
    <n v="358560"/>
    <n v="358560"/>
    <n v="0"/>
    <d v="2014-07-01T00:00:00"/>
    <x v="4"/>
    <x v="4"/>
    <x v="0"/>
    <n v="373500"/>
    <n v="0"/>
  </r>
  <r>
    <n v="130.80000000000001"/>
    <n v="3139.2"/>
    <n v="2180"/>
    <n v="959.19999999999982"/>
    <d v="2014-09-01T00:00:00"/>
    <x v="6"/>
    <x v="6"/>
    <x v="0"/>
    <n v="2310.8000000000002"/>
    <n v="0"/>
  </r>
  <r>
    <n v="1659.2"/>
    <n v="39820.800000000003"/>
    <n v="20740"/>
    <n v="19080.800000000003"/>
    <d v="2014-09-01T00:00:00"/>
    <x v="6"/>
    <x v="6"/>
    <x v="0"/>
    <n v="22399.200000000001"/>
    <n v="0"/>
  </r>
  <r>
    <n v="844.8"/>
    <n v="20275.2"/>
    <n v="10560"/>
    <n v="9715.2000000000007"/>
    <d v="2014-09-01T00:00:00"/>
    <x v="6"/>
    <x v="6"/>
    <x v="0"/>
    <n v="11404.8"/>
    <n v="0"/>
  </r>
  <r>
    <n v="402.6"/>
    <n v="9662.4"/>
    <n v="6710"/>
    <n v="2952.3999999999996"/>
    <d v="2013-10-01T00:00:00"/>
    <x v="7"/>
    <x v="7"/>
    <x v="1"/>
    <n v="7112.6"/>
    <n v="0"/>
  </r>
  <r>
    <n v="908.4"/>
    <n v="21801.599999999999"/>
    <n v="15140"/>
    <n v="6661.5999999999985"/>
    <d v="2013-10-01T00:00:00"/>
    <x v="7"/>
    <x v="7"/>
    <x v="1"/>
    <n v="16048.4"/>
    <n v="0"/>
  </r>
  <r>
    <n v="3836"/>
    <n v="92064"/>
    <n v="71240"/>
    <n v="20824"/>
    <d v="2014-12-01T00:00:00"/>
    <x v="2"/>
    <x v="2"/>
    <x v="0"/>
    <n v="75076"/>
    <n v="0"/>
  </r>
  <r>
    <n v="5690"/>
    <n v="136560"/>
    <n v="136560"/>
    <n v="0"/>
    <d v="2014-12-01T00:00:00"/>
    <x v="2"/>
    <x v="2"/>
    <x v="0"/>
    <n v="142250"/>
    <n v="0"/>
  </r>
  <r>
    <n v="703.2"/>
    <n v="16876.8"/>
    <n v="4395"/>
    <n v="12481.8"/>
    <d v="2014-03-01T00:00:00"/>
    <x v="3"/>
    <x v="3"/>
    <x v="0"/>
    <n v="5098.2"/>
    <n v="0"/>
  </r>
  <r>
    <n v="2116.8000000000002"/>
    <n v="50803.199999999997"/>
    <n v="26460"/>
    <n v="24343.199999999997"/>
    <d v="2013-09-01T00:00:00"/>
    <x v="6"/>
    <x v="6"/>
    <x v="1"/>
    <n v="28576.799999999999"/>
    <n v="0"/>
  </r>
  <r>
    <n v="30478"/>
    <n v="731472"/>
    <n v="566020"/>
    <n v="165452"/>
    <d v="2014-10-01T00:00:00"/>
    <x v="7"/>
    <x v="7"/>
    <x v="0"/>
    <n v="596498"/>
    <n v="0"/>
  </r>
  <r>
    <n v="415.68"/>
    <n v="9976.32"/>
    <n v="2598"/>
    <n v="7378.32"/>
    <d v="2014-05-01T00:00:00"/>
    <x v="11"/>
    <x v="11"/>
    <x v="0"/>
    <n v="3013.68"/>
    <n v="0"/>
  </r>
  <r>
    <n v="4886"/>
    <n v="117264"/>
    <n v="90740"/>
    <n v="26524"/>
    <d v="2013-09-01T00:00:00"/>
    <x v="6"/>
    <x v="6"/>
    <x v="1"/>
    <n v="95626"/>
    <n v="0"/>
  </r>
  <r>
    <n v="30478"/>
    <n v="731472"/>
    <n v="566020"/>
    <n v="165452"/>
    <d v="2014-10-01T00:00:00"/>
    <x v="7"/>
    <x v="7"/>
    <x v="0"/>
    <n v="596498"/>
    <n v="0"/>
  </r>
  <r>
    <n v="908.4"/>
    <n v="21801.599999999999"/>
    <n v="15140"/>
    <n v="6661.5999999999985"/>
    <d v="2013-10-01T00:00:00"/>
    <x v="7"/>
    <x v="7"/>
    <x v="1"/>
    <n v="16048.4"/>
    <n v="0"/>
  </r>
  <r>
    <n v="26110"/>
    <n v="626640"/>
    <n v="484900"/>
    <n v="141740"/>
    <d v="2014-02-01T00:00:00"/>
    <x v="8"/>
    <x v="8"/>
    <x v="0"/>
    <n v="511010"/>
    <n v="0"/>
  </r>
  <r>
    <n v="5370"/>
    <n v="128880"/>
    <n v="128880"/>
    <n v="0"/>
    <d v="2014-04-01T00:00:00"/>
    <x v="10"/>
    <x v="10"/>
    <x v="0"/>
    <n v="134250"/>
    <n v="0"/>
  </r>
  <r>
    <n v="26698"/>
    <n v="640752"/>
    <n v="495820"/>
    <n v="144932"/>
    <d v="2014-09-01T00:00:00"/>
    <x v="6"/>
    <x v="6"/>
    <x v="0"/>
    <n v="522518"/>
    <n v="0"/>
  </r>
  <r>
    <n v="402.6"/>
    <n v="9662.4"/>
    <n v="6710"/>
    <n v="2952.3999999999996"/>
    <d v="2013-10-01T00:00:00"/>
    <x v="7"/>
    <x v="7"/>
    <x v="1"/>
    <n v="7112.6"/>
    <n v="0"/>
  </r>
  <r>
    <n v="24892"/>
    <n v="597408"/>
    <n v="462280"/>
    <n v="135128"/>
    <d v="2013-12-01T00:00:00"/>
    <x v="2"/>
    <x v="2"/>
    <x v="1"/>
    <n v="487172"/>
    <n v="0"/>
  </r>
  <r>
    <n v="405.65"/>
    <n v="7707.35"/>
    <n v="5795"/>
    <n v="1912.3500000000004"/>
    <d v="2013-10-01T00:00:00"/>
    <x v="7"/>
    <x v="7"/>
    <x v="1"/>
    <n v="6200.65"/>
    <n v="0"/>
  </r>
  <r>
    <n v="480.2"/>
    <n v="9123.7999999999993"/>
    <n v="6860"/>
    <n v="2263.7999999999993"/>
    <d v="2014-01-01T00:00:00"/>
    <x v="0"/>
    <x v="0"/>
    <x v="0"/>
    <n v="7340.2"/>
    <n v="0"/>
  </r>
  <r>
    <n v="822.15"/>
    <n v="15620.85"/>
    <n v="11745"/>
    <n v="3875.8500000000004"/>
    <d v="2013-09-01T00:00:00"/>
    <x v="6"/>
    <x v="6"/>
    <x v="1"/>
    <n v="12567.15"/>
    <n v="0"/>
  </r>
  <r>
    <n v="941.15"/>
    <n v="17881.849999999999"/>
    <n v="13445"/>
    <n v="4436.8499999999985"/>
    <d v="2014-10-01T00:00:00"/>
    <x v="7"/>
    <x v="7"/>
    <x v="0"/>
    <n v="14386.15"/>
    <n v="0"/>
  </r>
  <r>
    <n v="1458.6"/>
    <n v="27713.4"/>
    <n v="7293"/>
    <n v="20420.400000000001"/>
    <d v="2014-12-01T00:00:00"/>
    <x v="2"/>
    <x v="2"/>
    <x v="0"/>
    <n v="8751.6"/>
    <n v="0"/>
  </r>
  <r>
    <n v="1458.6"/>
    <n v="27713.4"/>
    <n v="7293"/>
    <n v="20420.400000000001"/>
    <d v="2014-12-01T00:00:00"/>
    <x v="2"/>
    <x v="2"/>
    <x v="0"/>
    <n v="8751.6"/>
    <n v="0"/>
  </r>
  <r>
    <n v="941.15"/>
    <n v="17881.849999999999"/>
    <n v="13445"/>
    <n v="4436.8499999999985"/>
    <d v="2014-10-01T00:00:00"/>
    <x v="7"/>
    <x v="7"/>
    <x v="0"/>
    <n v="14386.15"/>
    <n v="0"/>
  </r>
  <r>
    <n v="589.04999999999995"/>
    <n v="11191.95"/>
    <n v="8415"/>
    <n v="2776.9500000000007"/>
    <d v="2014-07-01T00:00:00"/>
    <x v="4"/>
    <x v="4"/>
    <x v="0"/>
    <n v="9004.0499999999993"/>
    <n v="0"/>
  </r>
  <r>
    <n v="673.8"/>
    <n v="12802.2"/>
    <n v="3369"/>
    <n v="9433.2000000000007"/>
    <d v="2014-08-01T00:00:00"/>
    <x v="5"/>
    <x v="5"/>
    <x v="0"/>
    <n v="4042.8"/>
    <n v="0"/>
  </r>
  <r>
    <n v="405.65"/>
    <n v="7707.35"/>
    <n v="5795"/>
    <n v="1912.3500000000004"/>
    <d v="2013-10-01T00:00:00"/>
    <x v="7"/>
    <x v="7"/>
    <x v="1"/>
    <n v="6200.65"/>
    <n v="0"/>
  </r>
  <r>
    <n v="1119"/>
    <n v="21261"/>
    <n v="5595"/>
    <n v="15666"/>
    <d v="2014-02-01T00:00:00"/>
    <x v="8"/>
    <x v="8"/>
    <x v="0"/>
    <n v="6714"/>
    <n v="0"/>
  </r>
  <r>
    <n v="669.6"/>
    <n v="12722.4"/>
    <n v="3348"/>
    <n v="9374.4"/>
    <d v="2014-02-01T00:00:00"/>
    <x v="8"/>
    <x v="8"/>
    <x v="0"/>
    <n v="4017.6"/>
    <n v="0"/>
  </r>
  <r>
    <n v="1563"/>
    <n v="29697"/>
    <n v="15630"/>
    <n v="14067"/>
    <d v="2014-05-01T00:00:00"/>
    <x v="11"/>
    <x v="11"/>
    <x v="0"/>
    <n v="17193"/>
    <n v="0"/>
  </r>
  <r>
    <n v="14865"/>
    <n v="282435"/>
    <n v="247750"/>
    <n v="34685"/>
    <d v="2014-06-01T00:00:00"/>
    <x v="1"/>
    <x v="1"/>
    <x v="0"/>
    <n v="262615"/>
    <n v="0"/>
  </r>
  <r>
    <n v="355.6"/>
    <n v="6756.4"/>
    <n v="5080"/>
    <n v="1676.3999999999996"/>
    <d v="2013-11-01T00:00:00"/>
    <x v="9"/>
    <x v="9"/>
    <x v="1"/>
    <n v="5435.6"/>
    <n v="0"/>
  </r>
  <r>
    <n v="2093.25"/>
    <n v="39771.75"/>
    <n v="27910"/>
    <n v="11861.75"/>
    <d v="2014-11-01T00:00:00"/>
    <x v="9"/>
    <x v="9"/>
    <x v="0"/>
    <n v="30003.25"/>
    <n v="0"/>
  </r>
  <r>
    <n v="199.5"/>
    <n v="3790.5"/>
    <n v="2850"/>
    <n v="940.5"/>
    <d v="2014-12-01T00:00:00"/>
    <x v="2"/>
    <x v="2"/>
    <x v="0"/>
    <n v="3049.5"/>
    <n v="0"/>
  </r>
  <r>
    <n v="870.45"/>
    <n v="16538.55"/>
    <n v="12435"/>
    <n v="4103.5499999999993"/>
    <d v="2014-12-01T00:00:00"/>
    <x v="2"/>
    <x v="2"/>
    <x v="0"/>
    <n v="13305.45"/>
    <n v="0"/>
  </r>
  <r>
    <n v="24228.75"/>
    <n v="460346.25"/>
    <n v="359970"/>
    <n v="100376.25"/>
    <d v="2014-01-01T00:00:00"/>
    <x v="0"/>
    <x v="0"/>
    <x v="0"/>
    <n v="384198.75"/>
    <n v="0"/>
  </r>
  <r>
    <n v="22668.75"/>
    <n v="430706.25"/>
    <n v="435240"/>
    <n v="-4533.75"/>
    <d v="2014-07-01T00:00:00"/>
    <x v="4"/>
    <x v="4"/>
    <x v="0"/>
    <n v="457908.75"/>
    <n v="0"/>
  </r>
  <r>
    <n v="12600"/>
    <n v="239400"/>
    <n v="187200"/>
    <n v="52200"/>
    <d v="2013-09-01T00:00:00"/>
    <x v="6"/>
    <x v="6"/>
    <x v="1"/>
    <n v="199800"/>
    <n v="0"/>
  </r>
  <r>
    <n v="1405.2"/>
    <n v="26698.799999999999"/>
    <n v="7026"/>
    <n v="19672.8"/>
    <d v="2014-11-01T00:00:00"/>
    <x v="9"/>
    <x v="9"/>
    <x v="0"/>
    <n v="8431.2000000000007"/>
    <n v="0"/>
  </r>
  <r>
    <n v="16500"/>
    <n v="313500"/>
    <n v="275000"/>
    <n v="38500"/>
    <d v="2013-12-01T00:00:00"/>
    <x v="2"/>
    <x v="2"/>
    <x v="1"/>
    <n v="291500"/>
    <n v="0"/>
  </r>
  <r>
    <n v="1303"/>
    <n v="24757"/>
    <n v="13030"/>
    <n v="11727"/>
    <d v="2014-02-01T00:00:00"/>
    <x v="8"/>
    <x v="8"/>
    <x v="0"/>
    <n v="14333"/>
    <n v="0"/>
  </r>
  <r>
    <n v="18700"/>
    <n v="355300"/>
    <n v="359040"/>
    <n v="-3740"/>
    <d v="2014-03-01T00:00:00"/>
    <x v="3"/>
    <x v="3"/>
    <x v="0"/>
    <n v="377740"/>
    <n v="0"/>
  </r>
  <r>
    <n v="14906.25"/>
    <n v="283218.75"/>
    <n v="286200"/>
    <n v="-2981.25"/>
    <d v="2014-03-01T00:00:00"/>
    <x v="3"/>
    <x v="3"/>
    <x v="0"/>
    <n v="301106.25"/>
    <n v="0"/>
  </r>
  <r>
    <n v="24105"/>
    <n v="457995"/>
    <n v="401750"/>
    <n v="56245"/>
    <d v="2014-04-01T00:00:00"/>
    <x v="10"/>
    <x v="10"/>
    <x v="0"/>
    <n v="425855"/>
    <n v="0"/>
  </r>
  <r>
    <n v="814.45"/>
    <n v="15474.55"/>
    <n v="11635"/>
    <n v="3839.5499999999993"/>
    <d v="2014-05-01T00:00:00"/>
    <x v="11"/>
    <x v="11"/>
    <x v="0"/>
    <n v="12449.45"/>
    <n v="0"/>
  </r>
  <r>
    <n v="14865"/>
    <n v="282435"/>
    <n v="247750"/>
    <n v="34685"/>
    <d v="2014-06-01T00:00:00"/>
    <x v="1"/>
    <x v="1"/>
    <x v="0"/>
    <n v="262615"/>
    <n v="0"/>
  </r>
  <r>
    <n v="10535"/>
    <n v="200165"/>
    <n v="156520"/>
    <n v="43645"/>
    <d v="2014-06-01T00:00:00"/>
    <x v="1"/>
    <x v="1"/>
    <x v="0"/>
    <n v="167055"/>
    <n v="0"/>
  </r>
  <r>
    <n v="1965"/>
    <n v="37335"/>
    <n v="26200"/>
    <n v="11135"/>
    <d v="2014-09-01T00:00:00"/>
    <x v="6"/>
    <x v="6"/>
    <x v="0"/>
    <n v="28165"/>
    <n v="0"/>
  </r>
  <r>
    <n v="21490"/>
    <n v="408310"/>
    <n v="319280"/>
    <n v="89030"/>
    <d v="2013-10-01T00:00:00"/>
    <x v="7"/>
    <x v="7"/>
    <x v="1"/>
    <n v="340770"/>
    <n v="0"/>
  </r>
  <r>
    <n v="1389"/>
    <n v="26391"/>
    <n v="13890"/>
    <n v="12501"/>
    <d v="2013-10-01T00:00:00"/>
    <x v="7"/>
    <x v="7"/>
    <x v="1"/>
    <n v="15279"/>
    <n v="0"/>
  </r>
  <r>
    <n v="5381.25"/>
    <n v="102243.75"/>
    <n v="103320"/>
    <n v="-1076.25"/>
    <d v="2014-10-01T00:00:00"/>
    <x v="7"/>
    <x v="7"/>
    <x v="0"/>
    <n v="108701.25"/>
    <n v="0"/>
  </r>
  <r>
    <n v="4400"/>
    <n v="83600"/>
    <n v="84480"/>
    <n v="-880"/>
    <d v="2013-10-01T00:00:00"/>
    <x v="7"/>
    <x v="7"/>
    <x v="1"/>
    <n v="88880"/>
    <n v="0"/>
  </r>
  <r>
    <n v="1802"/>
    <n v="34238"/>
    <n v="18020"/>
    <n v="16218"/>
    <d v="2013-12-01T00:00:00"/>
    <x v="2"/>
    <x v="2"/>
    <x v="1"/>
    <n v="19822"/>
    <n v="0"/>
  </r>
  <r>
    <n v="2663"/>
    <n v="50597"/>
    <n v="26630"/>
    <n v="23967"/>
    <d v="2014-12-01T00:00:00"/>
    <x v="2"/>
    <x v="2"/>
    <x v="0"/>
    <n v="29293"/>
    <n v="0"/>
  </r>
  <r>
    <n v="747.6"/>
    <n v="14204.4"/>
    <n v="10680"/>
    <n v="3524.3999999999996"/>
    <d v="2013-12-01T00:00:00"/>
    <x v="2"/>
    <x v="2"/>
    <x v="1"/>
    <n v="11427.6"/>
    <n v="0"/>
  </r>
  <r>
    <n v="1587"/>
    <n v="30153"/>
    <n v="21160"/>
    <n v="8993"/>
    <d v="2013-12-01T00:00:00"/>
    <x v="2"/>
    <x v="2"/>
    <x v="1"/>
    <n v="22747"/>
    <n v="0"/>
  </r>
  <r>
    <n v="416.25"/>
    <n v="7908.75"/>
    <n v="5550"/>
    <n v="2358.75"/>
    <d v="2014-01-01T00:00:00"/>
    <x v="0"/>
    <x v="0"/>
    <x v="0"/>
    <n v="5966.25"/>
    <n v="0"/>
  </r>
  <r>
    <n v="2145.75"/>
    <n v="40769.25"/>
    <n v="28610"/>
    <n v="12159.25"/>
    <d v="2014-01-01T00:00:00"/>
    <x v="0"/>
    <x v="0"/>
    <x v="0"/>
    <n v="30755.75"/>
    <n v="0"/>
  </r>
  <r>
    <n v="5043.75"/>
    <n v="95831.25"/>
    <n v="96840"/>
    <n v="-1008.75"/>
    <d v="2014-02-01T00:00:00"/>
    <x v="8"/>
    <x v="8"/>
    <x v="0"/>
    <n v="101883.75"/>
    <n v="0"/>
  </r>
  <r>
    <n v="10535"/>
    <n v="200165"/>
    <n v="156520"/>
    <n v="43645"/>
    <d v="2014-06-01T00:00:00"/>
    <x v="1"/>
    <x v="1"/>
    <x v="0"/>
    <n v="167055"/>
    <n v="0"/>
  </r>
  <r>
    <n v="2832"/>
    <n v="53808"/>
    <n v="28320"/>
    <n v="25488"/>
    <d v="2014-08-01T00:00:00"/>
    <x v="5"/>
    <x v="5"/>
    <x v="0"/>
    <n v="31152"/>
    <n v="0"/>
  </r>
  <r>
    <n v="1579"/>
    <n v="30001"/>
    <n v="15790"/>
    <n v="14211"/>
    <d v="2014-08-01T00:00:00"/>
    <x v="5"/>
    <x v="5"/>
    <x v="0"/>
    <n v="17369"/>
    <n v="0"/>
  </r>
  <r>
    <n v="5381.25"/>
    <n v="102243.75"/>
    <n v="103320"/>
    <n v="-1076.25"/>
    <d v="2014-10-01T00:00:00"/>
    <x v="7"/>
    <x v="7"/>
    <x v="0"/>
    <n v="108701.25"/>
    <n v="0"/>
  </r>
  <r>
    <n v="4400"/>
    <n v="83600"/>
    <n v="84480"/>
    <n v="-880"/>
    <d v="2013-10-01T00:00:00"/>
    <x v="7"/>
    <x v="7"/>
    <x v="1"/>
    <n v="88880"/>
    <n v="0"/>
  </r>
  <r>
    <n v="1033"/>
    <n v="19627"/>
    <n v="10330"/>
    <n v="9297"/>
    <d v="2013-12-01T00:00:00"/>
    <x v="2"/>
    <x v="2"/>
    <x v="1"/>
    <n v="11363"/>
    <n v="0"/>
  </r>
  <r>
    <n v="18750"/>
    <n v="356250"/>
    <n v="312500"/>
    <n v="43750"/>
    <d v="2014-12-01T00:00:00"/>
    <x v="2"/>
    <x v="2"/>
    <x v="0"/>
    <n v="331250"/>
    <n v="0"/>
  </r>
  <r>
    <n v="1389"/>
    <n v="26391"/>
    <n v="13890"/>
    <n v="12501"/>
    <d v="2013-10-01T00:00:00"/>
    <x v="7"/>
    <x v="7"/>
    <x v="1"/>
    <n v="15279"/>
    <n v="0"/>
  </r>
  <r>
    <n v="1265"/>
    <n v="24035"/>
    <n v="12650"/>
    <n v="11385"/>
    <d v="2013-11-01T00:00:00"/>
    <x v="9"/>
    <x v="9"/>
    <x v="1"/>
    <n v="13915"/>
    <n v="0"/>
  </r>
  <r>
    <n v="2297"/>
    <n v="43643"/>
    <n v="22970"/>
    <n v="20673"/>
    <d v="2013-11-01T00:00:00"/>
    <x v="9"/>
    <x v="9"/>
    <x v="1"/>
    <n v="25267"/>
    <n v="0"/>
  </r>
  <r>
    <n v="2663"/>
    <n v="50597"/>
    <n v="26630"/>
    <n v="23967"/>
    <d v="2014-12-01T00:00:00"/>
    <x v="2"/>
    <x v="2"/>
    <x v="0"/>
    <n v="29293"/>
    <n v="0"/>
  </r>
  <r>
    <n v="199.5"/>
    <n v="3790.5"/>
    <n v="2850"/>
    <n v="940.5"/>
    <d v="2014-12-01T00:00:00"/>
    <x v="2"/>
    <x v="2"/>
    <x v="0"/>
    <n v="3049.5"/>
    <n v="0"/>
  </r>
  <r>
    <n v="870.45"/>
    <n v="16538.55"/>
    <n v="12435"/>
    <n v="4103.5499999999993"/>
    <d v="2014-12-01T00:00:00"/>
    <x v="2"/>
    <x v="2"/>
    <x v="0"/>
    <n v="13305.45"/>
    <n v="0"/>
  </r>
  <r>
    <n v="23625"/>
    <n v="448875"/>
    <n v="351000"/>
    <n v="97875"/>
    <d v="2014-02-01T00:00:00"/>
    <x v="8"/>
    <x v="8"/>
    <x v="0"/>
    <n v="374625"/>
    <n v="0"/>
  </r>
  <r>
    <n v="9660"/>
    <n v="183540"/>
    <n v="143520"/>
    <n v="40020"/>
    <d v="2014-08-01T00:00:00"/>
    <x v="5"/>
    <x v="5"/>
    <x v="0"/>
    <n v="153180"/>
    <n v="0"/>
  </r>
  <r>
    <n v="21490"/>
    <n v="408310"/>
    <n v="319280"/>
    <n v="89030"/>
    <d v="2013-10-01T00:00:00"/>
    <x v="7"/>
    <x v="7"/>
    <x v="1"/>
    <n v="340770"/>
    <n v="0"/>
  </r>
  <r>
    <n v="18750"/>
    <n v="356250"/>
    <n v="312500"/>
    <n v="43750"/>
    <d v="2014-12-01T00:00:00"/>
    <x v="2"/>
    <x v="2"/>
    <x v="0"/>
    <n v="331250"/>
    <n v="0"/>
  </r>
  <r>
    <n v="3420.8999999999996"/>
    <n v="53594.100000000006"/>
    <n v="38010"/>
    <n v="15584.100000000002"/>
    <d v="2014-04-01T00:00:00"/>
    <x v="10"/>
    <x v="10"/>
    <x v="0"/>
    <n v="41430.9"/>
    <n v="0"/>
  </r>
  <r>
    <n v="1341"/>
    <n v="21009"/>
    <n v="11175"/>
    <n v="9834"/>
    <d v="2014-01-01T00:00:00"/>
    <x v="0"/>
    <x v="0"/>
    <x v="0"/>
    <n v="12516"/>
    <n v="0"/>
  </r>
  <r>
    <n v="2559.6"/>
    <n v="40100.400000000001"/>
    <n v="28440"/>
    <n v="11660.400000000001"/>
    <d v="2014-06-01T00:00:00"/>
    <x v="1"/>
    <x v="1"/>
    <x v="0"/>
    <n v="30999.599999999999"/>
    <n v="0"/>
  </r>
  <r>
    <n v="404.64"/>
    <n v="6339.36"/>
    <n v="1686"/>
    <n v="4653.3599999999997"/>
    <d v="2014-09-01T00:00:00"/>
    <x v="6"/>
    <x v="6"/>
    <x v="0"/>
    <n v="2090.64"/>
    <n v="0"/>
  </r>
  <r>
    <n v="1655.28"/>
    <n v="25932.720000000001"/>
    <n v="6897"/>
    <n v="19035.72"/>
    <d v="2013-10-01T00:00:00"/>
    <x v="7"/>
    <x v="7"/>
    <x v="1"/>
    <n v="8552.2800000000007"/>
    <n v="0"/>
  </r>
  <r>
    <n v="1827"/>
    <n v="28623"/>
    <n v="20300"/>
    <n v="8323"/>
    <d v="2014-11-01T00:00:00"/>
    <x v="9"/>
    <x v="9"/>
    <x v="0"/>
    <n v="22127"/>
    <n v="0"/>
  </r>
  <r>
    <n v="110.46"/>
    <n v="1730.54"/>
    <n v="1315"/>
    <n v="415.53999999999996"/>
    <d v="2013-11-01T00:00:00"/>
    <x v="9"/>
    <x v="9"/>
    <x v="1"/>
    <n v="1425.46"/>
    <n v="0"/>
  </r>
  <r>
    <n v="6652.5"/>
    <n v="104222.5"/>
    <n v="106440"/>
    <n v="-2217.5"/>
    <d v="2013-12-01T00:00:00"/>
    <x v="2"/>
    <x v="2"/>
    <x v="1"/>
    <n v="113092.5"/>
    <n v="0"/>
  </r>
  <r>
    <n v="20580"/>
    <n v="322420"/>
    <n v="254800"/>
    <n v="67620"/>
    <d v="2014-04-01T00:00:00"/>
    <x v="10"/>
    <x v="10"/>
    <x v="0"/>
    <n v="275380"/>
    <n v="0"/>
  </r>
  <r>
    <n v="30660"/>
    <n v="480340"/>
    <n v="379600"/>
    <n v="100740"/>
    <d v="2014-05-01T00:00:00"/>
    <x v="11"/>
    <x v="11"/>
    <x v="0"/>
    <n v="410260"/>
    <n v="0"/>
  </r>
  <r>
    <n v="589.26"/>
    <n v="9231.74"/>
    <n v="7015"/>
    <n v="2216.7399999999998"/>
    <d v="2013-10-01T00:00:00"/>
    <x v="7"/>
    <x v="7"/>
    <x v="1"/>
    <n v="7604.26"/>
    <n v="0"/>
  </r>
  <r>
    <n v="1960.56"/>
    <n v="30715.439999999999"/>
    <n v="8169"/>
    <n v="22546.44"/>
    <d v="2014-11-01T00:00:00"/>
    <x v="9"/>
    <x v="9"/>
    <x v="0"/>
    <n v="10129.56"/>
    <n v="0"/>
  </r>
  <r>
    <n v="31416"/>
    <n v="492184"/>
    <n v="388960"/>
    <n v="103224"/>
    <d v="2014-06-01T00:00:00"/>
    <x v="1"/>
    <x v="1"/>
    <x v="0"/>
    <n v="420376"/>
    <n v="0"/>
  </r>
  <r>
    <n v="1655.28"/>
    <n v="25932.720000000001"/>
    <n v="6897"/>
    <n v="19035.72"/>
    <d v="2013-10-01T00:00:00"/>
    <x v="7"/>
    <x v="7"/>
    <x v="1"/>
    <n v="8552.2800000000007"/>
    <n v="0"/>
  </r>
  <r>
    <n v="15267"/>
    <n v="239183"/>
    <n v="189020"/>
    <n v="50163"/>
    <d v="2013-10-01T00:00:00"/>
    <x v="7"/>
    <x v="7"/>
    <x v="1"/>
    <n v="204287"/>
    <n v="0"/>
  </r>
  <r>
    <n v="7140"/>
    <n v="111860"/>
    <n v="114240"/>
    <n v="-2380"/>
    <d v="2014-02-01T00:00:00"/>
    <x v="8"/>
    <x v="8"/>
    <x v="0"/>
    <n v="121380"/>
    <n v="0"/>
  </r>
  <r>
    <n v="20662.5"/>
    <n v="323712.5"/>
    <n v="330600"/>
    <n v="-6887.5"/>
    <d v="2014-02-01T00:00:00"/>
    <x v="8"/>
    <x v="8"/>
    <x v="0"/>
    <n v="351262.5"/>
    <n v="0"/>
  </r>
  <r>
    <n v="1377"/>
    <n v="21573"/>
    <n v="15300"/>
    <n v="6273"/>
    <d v="2014-05-01T00:00:00"/>
    <x v="11"/>
    <x v="11"/>
    <x v="0"/>
    <n v="16677"/>
    <n v="0"/>
  </r>
  <r>
    <n v="31416"/>
    <n v="492184"/>
    <n v="388960"/>
    <n v="103224"/>
    <d v="2014-06-01T00:00:00"/>
    <x v="1"/>
    <x v="1"/>
    <x v="0"/>
    <n v="420376"/>
    <n v="0"/>
  </r>
  <r>
    <n v="629.16"/>
    <n v="9856.84"/>
    <n v="7490"/>
    <n v="2366.84"/>
    <d v="2014-06-01T00:00:00"/>
    <x v="1"/>
    <x v="1"/>
    <x v="0"/>
    <n v="8119.16"/>
    <n v="0"/>
  </r>
  <r>
    <n v="21978"/>
    <n v="344322"/>
    <n v="305250"/>
    <n v="39072"/>
    <d v="2013-10-01T00:00:00"/>
    <x v="7"/>
    <x v="7"/>
    <x v="1"/>
    <n v="327228"/>
    <n v="0"/>
  </r>
  <r>
    <n v="43596"/>
    <n v="683004"/>
    <n v="539760"/>
    <n v="143244"/>
    <d v="2013-10-01T00:00:00"/>
    <x v="7"/>
    <x v="7"/>
    <x v="1"/>
    <n v="583356"/>
    <n v="0"/>
  </r>
  <r>
    <n v="2559.6"/>
    <n v="40100.400000000001"/>
    <n v="28440"/>
    <n v="11660.400000000001"/>
    <d v="2014-06-01T00:00:00"/>
    <x v="1"/>
    <x v="1"/>
    <x v="0"/>
    <n v="30999.599999999999"/>
    <n v="0"/>
  </r>
  <r>
    <n v="629.16"/>
    <n v="9856.84"/>
    <n v="7490"/>
    <n v="2366.84"/>
    <d v="2014-06-01T00:00:00"/>
    <x v="1"/>
    <x v="1"/>
    <x v="0"/>
    <n v="8119.16"/>
    <n v="0"/>
  </r>
  <r>
    <n v="21978"/>
    <n v="344322"/>
    <n v="305250"/>
    <n v="39072"/>
    <d v="2013-10-01T00:00:00"/>
    <x v="7"/>
    <x v="7"/>
    <x v="1"/>
    <n v="327228"/>
    <n v="0"/>
  </r>
  <r>
    <n v="1347.6"/>
    <n v="21112.400000000001"/>
    <n v="11230"/>
    <n v="9882.4000000000015"/>
    <d v="2013-11-01T00:00:00"/>
    <x v="9"/>
    <x v="9"/>
    <x v="1"/>
    <n v="12577.6"/>
    <n v="0"/>
  </r>
  <r>
    <n v="43848"/>
    <n v="686952"/>
    <n v="609000"/>
    <n v="77952"/>
    <d v="2013-12-01T00:00:00"/>
    <x v="2"/>
    <x v="2"/>
    <x v="1"/>
    <n v="652848"/>
    <n v="0"/>
  </r>
  <r>
    <n v="14906.25"/>
    <n v="233531.25"/>
    <n v="238500"/>
    <n v="-4968.75"/>
    <d v="2014-01-01T00:00:00"/>
    <x v="0"/>
    <x v="0"/>
    <x v="0"/>
    <n v="253406.25"/>
    <n v="0"/>
  </r>
  <r>
    <n v="35259"/>
    <n v="552391"/>
    <n v="436540"/>
    <n v="115851"/>
    <d v="2014-09-01T00:00:00"/>
    <x v="6"/>
    <x v="6"/>
    <x v="0"/>
    <n v="471799"/>
    <n v="0"/>
  </r>
  <r>
    <n v="15267"/>
    <n v="239183"/>
    <n v="189020"/>
    <n v="50163"/>
    <d v="2013-10-01T00:00:00"/>
    <x v="7"/>
    <x v="7"/>
    <x v="1"/>
    <n v="204287"/>
    <n v="0"/>
  </r>
  <r>
    <n v="589.26"/>
    <n v="9231.74"/>
    <n v="7015"/>
    <n v="2216.7399999999998"/>
    <d v="2013-10-01T00:00:00"/>
    <x v="7"/>
    <x v="7"/>
    <x v="1"/>
    <n v="7604.26"/>
    <n v="0"/>
  </r>
  <r>
    <n v="43596"/>
    <n v="683004"/>
    <n v="539760"/>
    <n v="143244"/>
    <d v="2013-10-01T00:00:00"/>
    <x v="7"/>
    <x v="7"/>
    <x v="1"/>
    <n v="583356"/>
    <n v="0"/>
  </r>
  <r>
    <n v="2108.4"/>
    <n v="33031.599999999999"/>
    <n v="17570"/>
    <n v="15461.599999999999"/>
    <d v="2013-10-01T00:00:00"/>
    <x v="7"/>
    <x v="7"/>
    <x v="1"/>
    <n v="19678.400000000001"/>
    <n v="0"/>
  </r>
  <r>
    <n v="1978.2"/>
    <n v="30991.8"/>
    <n v="21980"/>
    <n v="9011.7999999999993"/>
    <d v="2014-08-01T00:00:00"/>
    <x v="5"/>
    <x v="5"/>
    <x v="0"/>
    <n v="23958.2"/>
    <n v="0"/>
  </r>
  <r>
    <n v="1568.7"/>
    <n v="24576.3"/>
    <n v="17430"/>
    <n v="7146.2999999999993"/>
    <d v="2014-08-01T00:00:00"/>
    <x v="5"/>
    <x v="5"/>
    <x v="0"/>
    <n v="18998.7"/>
    <n v="0"/>
  </r>
  <r>
    <n v="1037.7"/>
    <n v="16257.3"/>
    <n v="11530"/>
    <n v="4727.2999999999993"/>
    <d v="2014-10-01T00:00:00"/>
    <x v="7"/>
    <x v="7"/>
    <x v="0"/>
    <n v="12567.7"/>
    <n v="0"/>
  </r>
  <r>
    <n v="2108.4"/>
    <n v="33031.599999999999"/>
    <n v="17570"/>
    <n v="15461.599999999999"/>
    <d v="2013-10-01T00:00:00"/>
    <x v="7"/>
    <x v="7"/>
    <x v="1"/>
    <n v="19678.400000000001"/>
    <n v="0"/>
  </r>
  <r>
    <n v="1201.2"/>
    <n v="18818.8"/>
    <n v="10010"/>
    <n v="8808.7999999999993"/>
    <d v="2014-08-01T00:00:00"/>
    <x v="5"/>
    <x v="5"/>
    <x v="0"/>
    <n v="11211.2"/>
    <n v="0"/>
  </r>
  <r>
    <n v="559.86"/>
    <n v="8771.14"/>
    <n v="6665"/>
    <n v="2106.1399999999994"/>
    <d v="2014-11-01T00:00:00"/>
    <x v="9"/>
    <x v="9"/>
    <x v="0"/>
    <n v="7224.86"/>
    <n v="0"/>
  </r>
  <r>
    <n v="1037.7"/>
    <n v="16257.3"/>
    <n v="11530"/>
    <n v="4727.2999999999993"/>
    <d v="2014-10-01T00:00:00"/>
    <x v="7"/>
    <x v="7"/>
    <x v="0"/>
    <n v="12567.7"/>
    <n v="0"/>
  </r>
  <r>
    <n v="610.67999999999995"/>
    <n v="8113.32"/>
    <n v="2181"/>
    <n v="5932.32"/>
    <d v="2014-02-01T00:00:00"/>
    <x v="8"/>
    <x v="8"/>
    <x v="0"/>
    <n v="2791.68"/>
    <n v="0"/>
  </r>
  <r>
    <n v="1582.56"/>
    <n v="21025.439999999999"/>
    <n v="5652"/>
    <n v="15373.439999999999"/>
    <d v="2014-08-01T00:00:00"/>
    <x v="5"/>
    <x v="5"/>
    <x v="0"/>
    <n v="7234.5599999999995"/>
    <n v="0"/>
  </r>
  <r>
    <n v="2567.6"/>
    <n v="34112.400000000001"/>
    <n v="18340"/>
    <n v="15772.400000000001"/>
    <d v="2013-09-01T00:00:00"/>
    <x v="6"/>
    <x v="6"/>
    <x v="1"/>
    <n v="20907.599999999999"/>
    <n v="0"/>
  </r>
  <r>
    <n v="1965.6"/>
    <n v="26114.400000000001"/>
    <n v="7020"/>
    <n v="19094.400000000001"/>
    <d v="2014-01-01T00:00:00"/>
    <x v="0"/>
    <x v="0"/>
    <x v="0"/>
    <n v="8985.6"/>
    <n v="0"/>
  </r>
  <r>
    <n v="1967.28"/>
    <n v="26136.720000000001"/>
    <n v="7026"/>
    <n v="19110.72"/>
    <d v="2014-11-01T00:00:00"/>
    <x v="9"/>
    <x v="9"/>
    <x v="0"/>
    <n v="8993.2800000000007"/>
    <n v="0"/>
  </r>
  <r>
    <n v="505.19"/>
    <n v="6711.81"/>
    <n v="5155"/>
    <n v="1556.8100000000004"/>
    <d v="2013-09-01T00:00:00"/>
    <x v="6"/>
    <x v="6"/>
    <x v="1"/>
    <n v="5660.19"/>
    <n v="0"/>
  </r>
  <r>
    <n v="1325.1"/>
    <n v="17604.900000000001"/>
    <n v="12620"/>
    <n v="4984.9000000000015"/>
    <d v="2014-05-01T00:00:00"/>
    <x v="11"/>
    <x v="11"/>
    <x v="0"/>
    <n v="13945.1"/>
    <n v="0"/>
  </r>
  <r>
    <n v="556.15"/>
    <n v="7388.85"/>
    <n v="5675"/>
    <n v="1713.8500000000004"/>
    <d v="2014-06-01T00:00:00"/>
    <x v="1"/>
    <x v="1"/>
    <x v="0"/>
    <n v="6231.15"/>
    <n v="0"/>
  </r>
  <r>
    <n v="268.02999999999997"/>
    <n v="3560.9700000000003"/>
    <n v="2735"/>
    <n v="825.97000000000025"/>
    <d v="2014-11-01T00:00:00"/>
    <x v="9"/>
    <x v="9"/>
    <x v="0"/>
    <n v="3003.0299999999997"/>
    <n v="0"/>
  </r>
  <r>
    <n v="775.18"/>
    <n v="10298.82"/>
    <n v="7910"/>
    <n v="2388.8199999999997"/>
    <d v="2014-12-01T00:00:00"/>
    <x v="2"/>
    <x v="2"/>
    <x v="0"/>
    <n v="8685.18"/>
    <n v="0"/>
  </r>
  <r>
    <n v="1460.34"/>
    <n v="19401.66"/>
    <n v="5215.5"/>
    <n v="14186.16"/>
    <d v="2014-04-01T00:00:00"/>
    <x v="10"/>
    <x v="10"/>
    <x v="0"/>
    <n v="6675.84"/>
    <n v="0"/>
  </r>
  <r>
    <n v="1860.6"/>
    <n v="24719.4"/>
    <n v="6645"/>
    <n v="18074.400000000001"/>
    <d v="2013-09-01T00:00:00"/>
    <x v="6"/>
    <x v="6"/>
    <x v="1"/>
    <n v="8505.6"/>
    <n v="0"/>
  </r>
  <r>
    <n v="775.18"/>
    <n v="10298.82"/>
    <n v="7910"/>
    <n v="2388.8199999999997"/>
    <d v="2014-12-01T00:00:00"/>
    <x v="2"/>
    <x v="2"/>
    <x v="0"/>
    <n v="8685.18"/>
    <n v="0"/>
  </r>
  <r>
    <n v="556.15"/>
    <n v="7388.85"/>
    <n v="5675"/>
    <n v="1713.8500000000004"/>
    <d v="2014-06-01T00:00:00"/>
    <x v="1"/>
    <x v="1"/>
    <x v="0"/>
    <n v="6231.15"/>
    <n v="0"/>
  </r>
  <r>
    <n v="43144.5"/>
    <n v="573205.5"/>
    <n v="457860"/>
    <n v="115345.5"/>
    <d v="2014-03-01T00:00:00"/>
    <x v="3"/>
    <x v="3"/>
    <x v="0"/>
    <n v="501004.5"/>
    <n v="0"/>
  </r>
  <r>
    <n v="9408"/>
    <n v="124992"/>
    <n v="112000"/>
    <n v="12992"/>
    <d v="2014-06-01T00:00:00"/>
    <x v="1"/>
    <x v="1"/>
    <x v="0"/>
    <n v="121408"/>
    <n v="0"/>
  </r>
  <r>
    <n v="45801"/>
    <n v="608499"/>
    <n v="545250"/>
    <n v="63249"/>
    <d v="2014-10-01T00:00:00"/>
    <x v="7"/>
    <x v="7"/>
    <x v="0"/>
    <n v="591051"/>
    <n v="0"/>
  </r>
  <r>
    <n v="2766.4"/>
    <n v="36753.599999999999"/>
    <n v="19760"/>
    <n v="16993.599999999999"/>
    <d v="2014-10-01T00:00:00"/>
    <x v="7"/>
    <x v="7"/>
    <x v="0"/>
    <n v="22526.400000000001"/>
    <n v="0"/>
  </r>
  <r>
    <n v="45801"/>
    <n v="608499"/>
    <n v="545250"/>
    <n v="63249"/>
    <d v="2014-10-01T00:00:00"/>
    <x v="7"/>
    <x v="7"/>
    <x v="0"/>
    <n v="591051"/>
    <n v="0"/>
  </r>
  <r>
    <n v="21875"/>
    <n v="290625"/>
    <n v="300000"/>
    <n v="-9375"/>
    <d v="2013-11-01T00:00:00"/>
    <x v="9"/>
    <x v="9"/>
    <x v="1"/>
    <n v="321875"/>
    <n v="0"/>
  </r>
  <r>
    <n v="35742"/>
    <n v="474858"/>
    <n v="425500"/>
    <n v="49358"/>
    <d v="2014-05-01T00:00:00"/>
    <x v="11"/>
    <x v="11"/>
    <x v="0"/>
    <n v="461242"/>
    <n v="0"/>
  </r>
  <r>
    <n v="9408"/>
    <n v="124992"/>
    <n v="112000"/>
    <n v="12992"/>
    <d v="2014-06-01T00:00:00"/>
    <x v="1"/>
    <x v="1"/>
    <x v="0"/>
    <n v="121408"/>
    <n v="0"/>
  </r>
  <r>
    <n v="30738.75"/>
    <n v="408386.25"/>
    <n v="421560"/>
    <n v="-13173.75"/>
    <d v="2014-07-01T00:00:00"/>
    <x v="4"/>
    <x v="4"/>
    <x v="0"/>
    <n v="452298.75"/>
    <n v="0"/>
  </r>
  <r>
    <n v="2206.0500000000002"/>
    <n v="29308.95"/>
    <n v="21010"/>
    <n v="8298.9500000000007"/>
    <d v="2014-08-01T00:00:00"/>
    <x v="5"/>
    <x v="5"/>
    <x v="0"/>
    <n v="23216.05"/>
    <n v="0"/>
  </r>
  <r>
    <n v="3077.55"/>
    <n v="40887.449999999997"/>
    <n v="29310"/>
    <n v="11577.449999999997"/>
    <d v="2013-09-01T00:00:00"/>
    <x v="6"/>
    <x v="6"/>
    <x v="1"/>
    <n v="32387.55"/>
    <n v="0"/>
  </r>
  <r>
    <n v="2149"/>
    <n v="28551"/>
    <n v="15350"/>
    <n v="13201"/>
    <d v="2014-09-01T00:00:00"/>
    <x v="6"/>
    <x v="6"/>
    <x v="0"/>
    <n v="17499"/>
    <n v="0"/>
  </r>
  <r>
    <n v="23583"/>
    <n v="313317"/>
    <n v="280750"/>
    <n v="32567"/>
    <d v="2013-09-01T00:00:00"/>
    <x v="6"/>
    <x v="6"/>
    <x v="1"/>
    <n v="304333"/>
    <n v="0"/>
  </r>
  <r>
    <n v="29484"/>
    <n v="391716"/>
    <n v="351000"/>
    <n v="40716"/>
    <d v="2013-11-01T00:00:00"/>
    <x v="9"/>
    <x v="9"/>
    <x v="1"/>
    <n v="380484"/>
    <n v="0"/>
  </r>
  <r>
    <n v="2320.92"/>
    <n v="30835.08"/>
    <n v="8289"/>
    <n v="22546.080000000002"/>
    <d v="2013-11-01T00:00:00"/>
    <x v="9"/>
    <x v="9"/>
    <x v="1"/>
    <n v="10609.92"/>
    <n v="0"/>
  </r>
  <r>
    <n v="1041.25"/>
    <n v="13833.75"/>
    <n v="10625"/>
    <n v="3208.75"/>
    <d v="2013-12-01T00:00:00"/>
    <x v="2"/>
    <x v="2"/>
    <x v="1"/>
    <n v="11666.25"/>
    <n v="0"/>
  </r>
  <r>
    <n v="34839"/>
    <n v="462861"/>
    <n v="414750"/>
    <n v="48111"/>
    <d v="2014-07-01T00:00:00"/>
    <x v="4"/>
    <x v="4"/>
    <x v="0"/>
    <n v="449589"/>
    <n v="0"/>
  </r>
  <r>
    <n v="852.6"/>
    <n v="11327.4"/>
    <n v="6090"/>
    <n v="5237.3999999999996"/>
    <d v="2014-08-01T00:00:00"/>
    <x v="5"/>
    <x v="5"/>
    <x v="0"/>
    <n v="6942.6"/>
    <n v="0"/>
  </r>
  <r>
    <n v="18261.25"/>
    <n v="242613.75"/>
    <n v="250440"/>
    <n v="-7826.25"/>
    <d v="2014-09-01T00:00:00"/>
    <x v="6"/>
    <x v="6"/>
    <x v="0"/>
    <n v="268701.25"/>
    <n v="0"/>
  </r>
  <r>
    <n v="2766.4"/>
    <n v="36753.599999999999"/>
    <n v="19760"/>
    <n v="16993.599999999999"/>
    <d v="2014-10-01T00:00:00"/>
    <x v="7"/>
    <x v="7"/>
    <x v="0"/>
    <n v="22526.400000000001"/>
    <n v="0"/>
  </r>
  <r>
    <n v="1989.4"/>
    <n v="26430.6"/>
    <n v="14210"/>
    <n v="12220.599999999999"/>
    <d v="2013-12-01T00:00:00"/>
    <x v="2"/>
    <x v="2"/>
    <x v="1"/>
    <n v="16199.4"/>
    <n v="0"/>
  </r>
  <r>
    <n v="28812"/>
    <n v="382788"/>
    <n v="343000"/>
    <n v="39788"/>
    <d v="2014-12-01T00:00:00"/>
    <x v="2"/>
    <x v="2"/>
    <x v="0"/>
    <n v="371812"/>
    <n v="0"/>
  </r>
  <r>
    <n v="823.2"/>
    <n v="10936.8"/>
    <n v="5880"/>
    <n v="5056.7999999999993"/>
    <d v="2013-12-01T00:00:00"/>
    <x v="2"/>
    <x v="2"/>
    <x v="1"/>
    <n v="6703.2"/>
    <n v="0"/>
  </r>
  <r>
    <n v="2725.38"/>
    <n v="36208.620000000003"/>
    <n v="9733.5"/>
    <n v="26475.120000000003"/>
    <d v="2014-01-01T00:00:00"/>
    <x v="0"/>
    <x v="0"/>
    <x v="0"/>
    <n v="12458.880000000001"/>
    <n v="0"/>
  </r>
  <r>
    <n v="20139"/>
    <n v="267561"/>
    <n v="239750"/>
    <n v="27811"/>
    <d v="2014-02-01T00:00:00"/>
    <x v="8"/>
    <x v="8"/>
    <x v="0"/>
    <n v="259889"/>
    <n v="0"/>
  </r>
  <r>
    <n v="57687"/>
    <n v="766413"/>
    <n v="686750"/>
    <n v="79663"/>
    <d v="2014-02-01T00:00:00"/>
    <x v="8"/>
    <x v="8"/>
    <x v="0"/>
    <n v="744437"/>
    <n v="0"/>
  </r>
  <r>
    <n v="14393.75"/>
    <n v="191231.25"/>
    <n v="197400"/>
    <n v="-6168.75"/>
    <d v="2014-05-01T00:00:00"/>
    <x v="11"/>
    <x v="11"/>
    <x v="0"/>
    <n v="211793.75"/>
    <n v="0"/>
  </r>
  <r>
    <n v="70462"/>
    <n v="936138"/>
    <n v="747760"/>
    <n v="188378"/>
    <d v="2014-09-01T00:00:00"/>
    <x v="6"/>
    <x v="6"/>
    <x v="0"/>
    <n v="818222"/>
    <n v="0"/>
  </r>
  <r>
    <n v="8697.5"/>
    <n v="115552.5"/>
    <n v="119280"/>
    <n v="-3727.5"/>
    <d v="2013-09-01T00:00:00"/>
    <x v="6"/>
    <x v="6"/>
    <x v="1"/>
    <n v="127977.5"/>
    <n v="0"/>
  </r>
  <r>
    <n v="1565.2"/>
    <n v="20794.8"/>
    <n v="11180"/>
    <n v="9614.7999999999993"/>
    <d v="2014-11-01T00:00:00"/>
    <x v="9"/>
    <x v="9"/>
    <x v="0"/>
    <n v="12745.2"/>
    <n v="0"/>
  </r>
  <r>
    <n v="28812"/>
    <n v="382788"/>
    <n v="343000"/>
    <n v="39788"/>
    <d v="2014-12-01T00:00:00"/>
    <x v="2"/>
    <x v="2"/>
    <x v="0"/>
    <n v="371812"/>
    <n v="0"/>
  </r>
  <r>
    <n v="273.27999999999997"/>
    <n v="3142.7200000000003"/>
    <n v="2440"/>
    <n v="702.72000000000025"/>
    <d v="2014-02-01T00:00:00"/>
    <x v="8"/>
    <x v="8"/>
    <x v="0"/>
    <n v="2713.2799999999997"/>
    <n v="0"/>
  </r>
  <r>
    <n v="2051.1999999999998"/>
    <n v="23588.799999999999"/>
    <n v="12820"/>
    <n v="10768.8"/>
    <d v="2014-06-01T00:00:00"/>
    <x v="1"/>
    <x v="1"/>
    <x v="0"/>
    <n v="14871.2"/>
    <n v="0"/>
  </r>
  <r>
    <n v="143.91999999999999"/>
    <n v="1655.08"/>
    <n v="1285"/>
    <n v="370.07999999999993"/>
    <d v="2014-05-01T00:00:00"/>
    <x v="11"/>
    <x v="11"/>
    <x v="0"/>
    <n v="1428.92"/>
    <n v="0"/>
  </r>
  <r>
    <n v="2051.1999999999998"/>
    <n v="23588.799999999999"/>
    <n v="12820"/>
    <n v="10768.8"/>
    <d v="2014-06-01T00:00:00"/>
    <x v="1"/>
    <x v="1"/>
    <x v="0"/>
    <n v="14871.2"/>
    <n v="0"/>
  </r>
  <r>
    <n v="15400"/>
    <n v="177100"/>
    <n v="184800"/>
    <n v="-7700"/>
    <d v="2014-08-01T00:00:00"/>
    <x v="5"/>
    <x v="5"/>
    <x v="0"/>
    <n v="200200"/>
    <n v="0"/>
  </r>
  <r>
    <n v="588"/>
    <n v="6762"/>
    <n v="4900"/>
    <n v="1862"/>
    <d v="2014-11-01T00:00:00"/>
    <x v="9"/>
    <x v="9"/>
    <x v="0"/>
    <n v="5488"/>
    <n v="0"/>
  </r>
  <r>
    <n v="38136"/>
    <n v="438564"/>
    <n v="354120"/>
    <n v="84444"/>
    <d v="2014-12-01T00:00:00"/>
    <x v="2"/>
    <x v="2"/>
    <x v="0"/>
    <n v="392256"/>
    <n v="0"/>
  </r>
  <r>
    <n v="3001.2"/>
    <n v="34513.800000000003"/>
    <n v="25010"/>
    <n v="9503.8000000000029"/>
    <d v="2014-03-01T00:00:00"/>
    <x v="3"/>
    <x v="3"/>
    <x v="0"/>
    <n v="28011.200000000001"/>
    <n v="0"/>
  </r>
  <r>
    <n v="1132.8"/>
    <n v="13027.2"/>
    <n v="7080"/>
    <n v="5947.2000000000007"/>
    <d v="2014-06-01T00:00:00"/>
    <x v="1"/>
    <x v="1"/>
    <x v="0"/>
    <n v="8212.7999999999993"/>
    <n v="0"/>
  </r>
  <r>
    <n v="1032"/>
    <n v="11868"/>
    <n v="6450"/>
    <n v="5418"/>
    <d v="2014-07-01T00:00:00"/>
    <x v="4"/>
    <x v="4"/>
    <x v="0"/>
    <n v="7482"/>
    <n v="0"/>
  </r>
  <r>
    <n v="37488"/>
    <n v="431112"/>
    <n v="390500"/>
    <n v="40612"/>
    <d v="2014-08-01T00:00:00"/>
    <x v="5"/>
    <x v="5"/>
    <x v="0"/>
    <n v="427988"/>
    <n v="0"/>
  </r>
  <r>
    <n v="30792"/>
    <n v="354108"/>
    <n v="320750"/>
    <n v="33358"/>
    <d v="2013-09-01T00:00:00"/>
    <x v="6"/>
    <x v="6"/>
    <x v="1"/>
    <n v="351542"/>
    <n v="0"/>
  </r>
  <r>
    <n v="853.2"/>
    <n v="9811.7999999999993"/>
    <n v="7110"/>
    <n v="2701.7999999999993"/>
    <d v="2014-12-01T00:00:00"/>
    <x v="2"/>
    <x v="2"/>
    <x v="0"/>
    <n v="7963.2"/>
    <n v="0"/>
  </r>
  <r>
    <n v="11140"/>
    <n v="128110"/>
    <n v="133680"/>
    <n v="-5570"/>
    <d v="2014-03-01T00:00:00"/>
    <x v="3"/>
    <x v="3"/>
    <x v="0"/>
    <n v="144820"/>
    <n v="0"/>
  </r>
  <r>
    <n v="705.04"/>
    <n v="8107.96"/>
    <n v="6295"/>
    <n v="1812.96"/>
    <d v="2014-04-01T00:00:00"/>
    <x v="10"/>
    <x v="10"/>
    <x v="0"/>
    <n v="7000.04"/>
    <n v="0"/>
  </r>
  <r>
    <n v="613.20000000000005"/>
    <n v="7051.8"/>
    <n v="5475"/>
    <n v="1576.8000000000002"/>
    <d v="2014-05-01T00:00:00"/>
    <x v="11"/>
    <x v="11"/>
    <x v="0"/>
    <n v="6088.2"/>
    <n v="0"/>
  </r>
  <r>
    <n v="2185.6"/>
    <n v="25134.400000000001"/>
    <n v="13660"/>
    <n v="11474.400000000001"/>
    <d v="2014-06-01T00:00:00"/>
    <x v="1"/>
    <x v="1"/>
    <x v="0"/>
    <n v="15845.6"/>
    <n v="0"/>
  </r>
  <r>
    <n v="59040"/>
    <n v="678960"/>
    <n v="615000"/>
    <n v="63960"/>
    <d v="2014-06-01T00:00:00"/>
    <x v="1"/>
    <x v="1"/>
    <x v="0"/>
    <n v="674040"/>
    <n v="0"/>
  </r>
  <r>
    <n v="379.68"/>
    <n v="4366.32"/>
    <n v="3390"/>
    <n v="976.31999999999971"/>
    <d v="2014-08-01T00:00:00"/>
    <x v="5"/>
    <x v="5"/>
    <x v="0"/>
    <n v="3769.68"/>
    <n v="0"/>
  </r>
  <r>
    <n v="894.88"/>
    <n v="10291.120000000001"/>
    <n v="7990"/>
    <n v="2301.1200000000008"/>
    <d v="2014-08-01T00:00:00"/>
    <x v="5"/>
    <x v="5"/>
    <x v="0"/>
    <n v="8884.8799999999992"/>
    <n v="0"/>
  </r>
  <r>
    <n v="1349.04"/>
    <n v="15513.96"/>
    <n v="12045"/>
    <n v="3468.9599999999991"/>
    <d v="2013-09-01T00:00:00"/>
    <x v="6"/>
    <x v="6"/>
    <x v="1"/>
    <n v="13394.04"/>
    <n v="0"/>
  </r>
  <r>
    <n v="3094.4"/>
    <n v="35585.599999999999"/>
    <n v="19340"/>
    <n v="16245.599999999999"/>
    <d v="2014-09-01T00:00:00"/>
    <x v="6"/>
    <x v="6"/>
    <x v="0"/>
    <n v="22434.400000000001"/>
    <n v="0"/>
  </r>
  <r>
    <n v="4788.8"/>
    <n v="55071.199999999997"/>
    <n v="29930"/>
    <n v="25141.199999999997"/>
    <d v="2014-09-01T00:00:00"/>
    <x v="6"/>
    <x v="6"/>
    <x v="0"/>
    <n v="34718.800000000003"/>
    <n v="0"/>
  </r>
  <r>
    <n v="60088"/>
    <n v="691012"/>
    <n v="557960"/>
    <n v="133052"/>
    <d v="2013-11-01T00:00:00"/>
    <x v="9"/>
    <x v="9"/>
    <x v="1"/>
    <n v="618048"/>
    <n v="0"/>
  </r>
  <r>
    <n v="1089.76"/>
    <n v="12532.24"/>
    <n v="9730"/>
    <n v="2802.24"/>
    <d v="2013-12-01T00:00:00"/>
    <x v="2"/>
    <x v="2"/>
    <x v="1"/>
    <n v="10819.76"/>
    <n v="0"/>
  </r>
  <r>
    <n v="38136"/>
    <n v="438564"/>
    <n v="354120"/>
    <n v="84444"/>
    <d v="2014-12-01T00:00:00"/>
    <x v="2"/>
    <x v="2"/>
    <x v="0"/>
    <n v="392256"/>
    <n v="0"/>
  </r>
  <r>
    <n v="574.08000000000004"/>
    <n v="6601.92"/>
    <n v="1794"/>
    <n v="4807.92"/>
    <d v="2014-03-01T00:00:00"/>
    <x v="3"/>
    <x v="3"/>
    <x v="0"/>
    <n v="2368.08"/>
    <n v="0"/>
  </r>
  <r>
    <n v="1627.92"/>
    <n v="18721.080000000002"/>
    <n v="14535"/>
    <n v="4186.0800000000017"/>
    <d v="2014-06-01T00:00:00"/>
    <x v="1"/>
    <x v="1"/>
    <x v="0"/>
    <n v="16162.92"/>
    <n v="0"/>
  </r>
  <r>
    <n v="1309.28"/>
    <n v="15056.72"/>
    <n v="11690"/>
    <n v="3366.7199999999993"/>
    <d v="2014-06-01T00:00:00"/>
    <x v="1"/>
    <x v="1"/>
    <x v="0"/>
    <n v="12999.28"/>
    <n v="0"/>
  </r>
  <r>
    <n v="9264"/>
    <n v="106536"/>
    <n v="96500"/>
    <n v="10036"/>
    <d v="2013-11-01T00:00:00"/>
    <x v="9"/>
    <x v="9"/>
    <x v="1"/>
    <n v="105764"/>
    <n v="0"/>
  </r>
  <r>
    <n v="15240"/>
    <n v="175260"/>
    <n v="158750"/>
    <n v="16510"/>
    <d v="2014-12-01T00:00:00"/>
    <x v="2"/>
    <x v="2"/>
    <x v="0"/>
    <n v="173990"/>
    <n v="0"/>
  </r>
  <r>
    <n v="16086"/>
    <n v="184989"/>
    <n v="149370"/>
    <n v="35619"/>
    <d v="2014-04-01T00:00:00"/>
    <x v="10"/>
    <x v="10"/>
    <x v="0"/>
    <n v="165456"/>
    <n v="0"/>
  </r>
  <r>
    <n v="1309.28"/>
    <n v="15056.72"/>
    <n v="11690"/>
    <n v="3366.7199999999993"/>
    <d v="2014-06-01T00:00:00"/>
    <x v="1"/>
    <x v="1"/>
    <x v="0"/>
    <n v="12999.28"/>
    <n v="0"/>
  </r>
  <r>
    <n v="10668"/>
    <n v="122682"/>
    <n v="99060"/>
    <n v="23622"/>
    <d v="2014-08-01T00:00:00"/>
    <x v="5"/>
    <x v="5"/>
    <x v="0"/>
    <n v="109728"/>
    <n v="0"/>
  </r>
  <r>
    <n v="11816"/>
    <n v="135884"/>
    <n v="109720"/>
    <n v="26164"/>
    <d v="2014-08-01T00:00:00"/>
    <x v="5"/>
    <x v="5"/>
    <x v="0"/>
    <n v="121536"/>
    <n v="0"/>
  </r>
  <r>
    <n v="51216"/>
    <n v="588984"/>
    <n v="533500"/>
    <n v="55484"/>
    <d v="2014-09-01T00:00:00"/>
    <x v="6"/>
    <x v="6"/>
    <x v="0"/>
    <n v="584716"/>
    <n v="0"/>
  </r>
  <r>
    <n v="19392"/>
    <n v="223008"/>
    <n v="202000"/>
    <n v="21008"/>
    <d v="2013-12-01T00:00:00"/>
    <x v="2"/>
    <x v="2"/>
    <x v="1"/>
    <n v="221392"/>
    <n v="0"/>
  </r>
  <r>
    <n v="1132.8"/>
    <n v="13027.2"/>
    <n v="7080"/>
    <n v="5947.2000000000007"/>
    <d v="2014-06-01T00:00:00"/>
    <x v="1"/>
    <x v="1"/>
    <x v="0"/>
    <n v="8212.7999999999993"/>
    <n v="0"/>
  </r>
  <r>
    <n v="1627.92"/>
    <n v="18721.080000000002"/>
    <n v="14535"/>
    <n v="4186.0800000000017"/>
    <d v="2014-06-01T00:00:00"/>
    <x v="1"/>
    <x v="1"/>
    <x v="0"/>
    <n v="16162.92"/>
    <n v="0"/>
  </r>
  <r>
    <n v="2185.6"/>
    <n v="25134.400000000001"/>
    <n v="13660"/>
    <n v="11474.400000000001"/>
    <d v="2014-06-01T00:00:00"/>
    <x v="1"/>
    <x v="1"/>
    <x v="0"/>
    <n v="15845.6"/>
    <n v="0"/>
  </r>
  <r>
    <n v="59040"/>
    <n v="678960"/>
    <n v="615000"/>
    <n v="63960"/>
    <d v="2014-06-01T00:00:00"/>
    <x v="1"/>
    <x v="1"/>
    <x v="0"/>
    <n v="674040"/>
    <n v="0"/>
  </r>
  <r>
    <n v="2432"/>
    <n v="27968"/>
    <n v="15200"/>
    <n v="12768"/>
    <d v="2014-11-01T00:00:00"/>
    <x v="9"/>
    <x v="9"/>
    <x v="0"/>
    <n v="17632"/>
    <n v="0"/>
  </r>
  <r>
    <n v="853.2"/>
    <n v="9811.7999999999993"/>
    <n v="7110"/>
    <n v="2701.7999999999993"/>
    <d v="2014-12-01T00:00:00"/>
    <x v="2"/>
    <x v="2"/>
    <x v="0"/>
    <n v="7963.2"/>
    <n v="0"/>
  </r>
  <r>
    <n v="1320"/>
    <n v="15180"/>
    <n v="4125"/>
    <n v="11055"/>
    <d v="2013-12-01T00:00:00"/>
    <x v="2"/>
    <x v="2"/>
    <x v="1"/>
    <n v="5445"/>
    <n v="0"/>
  </r>
  <r>
    <n v="15240"/>
    <n v="175260"/>
    <n v="158750"/>
    <n v="16510"/>
    <d v="2014-12-01T00:00:00"/>
    <x v="2"/>
    <x v="2"/>
    <x v="0"/>
    <n v="173990"/>
    <n v="0"/>
  </r>
  <r>
    <n v="698.40000000000009"/>
    <n v="8031.5999999999995"/>
    <n v="4365"/>
    <n v="3666.5999999999995"/>
    <d v="2014-07-01T00:00:00"/>
    <x v="4"/>
    <x v="4"/>
    <x v="0"/>
    <n v="5063.3999999999996"/>
    <n v="0"/>
  </r>
  <r>
    <n v="29538"/>
    <n v="298662"/>
    <n v="273500"/>
    <n v="25162"/>
    <d v="2014-06-01T00:00:00"/>
    <x v="1"/>
    <x v="1"/>
    <x v="0"/>
    <n v="303038"/>
    <n v="0"/>
  </r>
  <r>
    <n v="396.36"/>
    <n v="4007.64"/>
    <n v="1101"/>
    <n v="2906.64"/>
    <d v="2013-10-01T00:00:00"/>
    <x v="7"/>
    <x v="7"/>
    <x v="1"/>
    <n v="1497.3600000000001"/>
    <n v="0"/>
  </r>
  <r>
    <n v="102667.5"/>
    <n v="1038082.5"/>
    <n v="950625"/>
    <n v="87457.5"/>
    <d v="2014-04-01T00:00:00"/>
    <x v="10"/>
    <x v="10"/>
    <x v="0"/>
    <n v="1053292.5"/>
    <n v="0"/>
  </r>
  <r>
    <n v="52479"/>
    <n v="530621"/>
    <n v="433160"/>
    <n v="97461"/>
    <d v="2014-05-01T00:00:00"/>
    <x v="11"/>
    <x v="11"/>
    <x v="0"/>
    <n v="485639"/>
    <n v="0"/>
  </r>
  <r>
    <n v="8694"/>
    <n v="87906"/>
    <n v="80500"/>
    <n v="7406"/>
    <d v="2013-09-01T00:00:00"/>
    <x v="6"/>
    <x v="6"/>
    <x v="1"/>
    <n v="89194"/>
    <n v="0"/>
  </r>
  <r>
    <n v="2506.6799999999998"/>
    <n v="25345.32"/>
    <n v="6963"/>
    <n v="18382.32"/>
    <d v="2014-11-01T00:00:00"/>
    <x v="9"/>
    <x v="9"/>
    <x v="0"/>
    <n v="9469.68"/>
    <n v="0"/>
  </r>
  <r>
    <n v="20891.25"/>
    <n v="211233.75"/>
    <n v="222840"/>
    <n v="-11606.25"/>
    <d v="2013-11-01T00:00:00"/>
    <x v="9"/>
    <x v="9"/>
    <x v="1"/>
    <n v="243731.25"/>
    <n v="0"/>
  </r>
  <r>
    <n v="1014.93"/>
    <n v="10262.07"/>
    <n v="8055"/>
    <n v="2207.0699999999997"/>
    <d v="2013-12-01T00:00:00"/>
    <x v="2"/>
    <x v="2"/>
    <x v="1"/>
    <n v="9069.93"/>
    <n v="0"/>
  </r>
  <r>
    <n v="31466.25"/>
    <n v="318158.75"/>
    <n v="335640"/>
    <n v="-17481.25"/>
    <d v="2014-12-01T00:00:00"/>
    <x v="2"/>
    <x v="2"/>
    <x v="0"/>
    <n v="367106.25"/>
    <n v="0"/>
  </r>
  <r>
    <n v="9018"/>
    <n v="91182"/>
    <n v="83500"/>
    <n v="7682"/>
    <d v="2013-12-01T00:00:00"/>
    <x v="2"/>
    <x v="2"/>
    <x v="1"/>
    <n v="92518"/>
    <n v="0"/>
  </r>
  <r>
    <n v="69255"/>
    <n v="700245"/>
    <n v="641250"/>
    <n v="58995"/>
    <d v="2014-01-01T00:00:00"/>
    <x v="0"/>
    <x v="0"/>
    <x v="0"/>
    <n v="710505"/>
    <n v="0"/>
  </r>
  <r>
    <n v="76135.5"/>
    <n v="769814.5"/>
    <n v="628420"/>
    <n v="141394.5"/>
    <d v="2014-01-01T00:00:00"/>
    <x v="0"/>
    <x v="0"/>
    <x v="0"/>
    <n v="704555.5"/>
    <n v="0"/>
  </r>
  <r>
    <n v="4961.25"/>
    <n v="50163.75"/>
    <n v="36750"/>
    <n v="13413.75"/>
    <d v="2014-04-01T00:00:00"/>
    <x v="10"/>
    <x v="10"/>
    <x v="0"/>
    <n v="41711.25"/>
    <n v="0"/>
  </r>
  <r>
    <n v="29538"/>
    <n v="298662"/>
    <n v="273500"/>
    <n v="25162"/>
    <d v="2014-06-01T00:00:00"/>
    <x v="1"/>
    <x v="1"/>
    <x v="0"/>
    <n v="303038"/>
    <n v="0"/>
  </r>
  <r>
    <n v="1656.45"/>
    <n v="16748.55"/>
    <n v="12270"/>
    <n v="4478.5499999999993"/>
    <d v="2014-10-01T00:00:00"/>
    <x v="7"/>
    <x v="7"/>
    <x v="0"/>
    <n v="13926.45"/>
    <n v="0"/>
  </r>
  <r>
    <n v="396.36"/>
    <n v="4007.64"/>
    <n v="1101"/>
    <n v="2906.64"/>
    <d v="2013-10-01T00:00:00"/>
    <x v="7"/>
    <x v="7"/>
    <x v="1"/>
    <n v="1497.3600000000001"/>
    <n v="0"/>
  </r>
  <r>
    <n v="35748"/>
    <n v="361452"/>
    <n v="331000"/>
    <n v="30452"/>
    <d v="2014-11-01T00:00:00"/>
    <x v="9"/>
    <x v="9"/>
    <x v="0"/>
    <n v="366748"/>
    <n v="0"/>
  </r>
  <r>
    <n v="1917"/>
    <n v="19383"/>
    <n v="5325"/>
    <n v="14058"/>
    <d v="2013-11-01T00:00:00"/>
    <x v="9"/>
    <x v="9"/>
    <x v="1"/>
    <n v="7242"/>
    <n v="0"/>
  </r>
  <r>
    <n v="31466.25"/>
    <n v="318158.75"/>
    <n v="335640"/>
    <n v="-17481.25"/>
    <d v="2014-12-01T00:00:00"/>
    <x v="2"/>
    <x v="2"/>
    <x v="0"/>
    <n v="367106.25"/>
    <n v="0"/>
  </r>
  <r>
    <n v="330.75"/>
    <n v="3344.25"/>
    <n v="2450"/>
    <n v="894.25"/>
    <d v="2014-05-01T00:00:00"/>
    <x v="11"/>
    <x v="11"/>
    <x v="0"/>
    <n v="2780.75"/>
    <n v="0"/>
  </r>
  <r>
    <n v="102424.5"/>
    <n v="1035625.5"/>
    <n v="948375"/>
    <n v="87250.5"/>
    <d v="2014-07-01T00:00:00"/>
    <x v="4"/>
    <x v="4"/>
    <x v="0"/>
    <n v="1050799.5"/>
    <n v="0"/>
  </r>
  <r>
    <n v="41170.5"/>
    <n v="416279.5"/>
    <n v="339820"/>
    <n v="76459.5"/>
    <d v="2014-07-01T00:00:00"/>
    <x v="4"/>
    <x v="4"/>
    <x v="0"/>
    <n v="380990.5"/>
    <n v="0"/>
  </r>
  <r>
    <n v="6378.75"/>
    <n v="64496.25"/>
    <n v="68040"/>
    <n v="-3543.75"/>
    <d v="2014-09-01T00:00:00"/>
    <x v="6"/>
    <x v="6"/>
    <x v="0"/>
    <n v="74418.75"/>
    <n v="0"/>
  </r>
  <r>
    <n v="23737.5"/>
    <n v="240012.5"/>
    <n v="253200"/>
    <n v="-13187.5"/>
    <d v="2014-09-01T00:00:00"/>
    <x v="6"/>
    <x v="6"/>
    <x v="0"/>
    <n v="276937.5"/>
    <n v="0"/>
  </r>
  <r>
    <n v="39973.5"/>
    <n v="404176.5"/>
    <n v="329940"/>
    <n v="74236.5"/>
    <d v="2014-10-01T00:00:00"/>
    <x v="7"/>
    <x v="7"/>
    <x v="0"/>
    <n v="369913.5"/>
    <n v="0"/>
  </r>
  <r>
    <n v="2112.48"/>
    <n v="21359.52"/>
    <n v="5868"/>
    <n v="15491.52"/>
    <d v="2014-01-01T00:00:00"/>
    <x v="0"/>
    <x v="0"/>
    <x v="0"/>
    <n v="7980.48"/>
    <n v="0"/>
  </r>
  <r>
    <n v="71793"/>
    <n v="725907"/>
    <n v="664750"/>
    <n v="61157"/>
    <d v="2014-02-01T00:00:00"/>
    <x v="8"/>
    <x v="8"/>
    <x v="0"/>
    <n v="736543"/>
    <n v="0"/>
  </r>
  <r>
    <n v="42572.25"/>
    <n v="430452.75"/>
    <n v="351390"/>
    <n v="79062.75"/>
    <d v="2014-04-01T00:00:00"/>
    <x v="10"/>
    <x v="10"/>
    <x v="0"/>
    <n v="393962.25"/>
    <n v="0"/>
  </r>
  <r>
    <n v="950.4"/>
    <n v="9609.6"/>
    <n v="2640"/>
    <n v="6969.6"/>
    <d v="2014-05-01T00:00:00"/>
    <x v="11"/>
    <x v="11"/>
    <x v="0"/>
    <n v="3590.4"/>
    <n v="0"/>
  </r>
  <r>
    <n v="50409"/>
    <n v="509691"/>
    <n v="466750"/>
    <n v="42941"/>
    <d v="2014-09-01T00:00:00"/>
    <x v="6"/>
    <x v="6"/>
    <x v="0"/>
    <n v="517159"/>
    <n v="0"/>
  </r>
  <r>
    <n v="2412.7199999999998"/>
    <n v="24395.279999999999"/>
    <n v="6702"/>
    <n v="17693.28"/>
    <d v="2013-09-01T00:00:00"/>
    <x v="6"/>
    <x v="6"/>
    <x v="1"/>
    <n v="9114.7199999999993"/>
    <n v="0"/>
  </r>
  <r>
    <n v="1656.45"/>
    <n v="16748.55"/>
    <n v="12270"/>
    <n v="4478.5499999999993"/>
    <d v="2014-10-01T00:00:00"/>
    <x v="7"/>
    <x v="7"/>
    <x v="0"/>
    <n v="13926.45"/>
    <n v="0"/>
  </r>
  <r>
    <n v="9866.25"/>
    <n v="99758.75"/>
    <n v="105240"/>
    <n v="-5481.25"/>
    <d v="2014-11-01T00:00:00"/>
    <x v="9"/>
    <x v="9"/>
    <x v="0"/>
    <n v="115106.25"/>
    <n v="0"/>
  </r>
  <r>
    <n v="65236.5"/>
    <n v="659613.5"/>
    <n v="538460"/>
    <n v="121153.5"/>
    <d v="2014-09-01T00:00:00"/>
    <x v="6"/>
    <x v="6"/>
    <x v="0"/>
    <n v="603696.5"/>
    <n v="0"/>
  </r>
  <r>
    <n v="39973.5"/>
    <n v="404176.5"/>
    <n v="329940"/>
    <n v="74236.5"/>
    <d v="2014-10-01T00:00:00"/>
    <x v="7"/>
    <x v="7"/>
    <x v="0"/>
    <n v="369913.5"/>
    <n v="0"/>
  </r>
  <r>
    <n v="1309.5"/>
    <n v="13240.5"/>
    <n v="9700"/>
    <n v="3540.5"/>
    <d v="2013-11-01T00:00:00"/>
    <x v="9"/>
    <x v="9"/>
    <x v="1"/>
    <n v="11009.5"/>
    <n v="0"/>
  </r>
  <r>
    <n v="3049.2"/>
    <n v="30830.799999999999"/>
    <n v="16940"/>
    <n v="13890.8"/>
    <d v="2014-11-01T00:00:00"/>
    <x v="9"/>
    <x v="9"/>
    <x v="0"/>
    <n v="19989.2"/>
    <n v="0"/>
  </r>
  <r>
    <n v="1193.4000000000001"/>
    <n v="12066.6"/>
    <n v="6630"/>
    <n v="5436.6"/>
    <d v="2014-05-01T00:00:00"/>
    <x v="11"/>
    <x v="11"/>
    <x v="0"/>
    <n v="7823.4"/>
    <n v="0"/>
  </r>
  <r>
    <n v="515.97"/>
    <n v="5217.03"/>
    <n v="4095"/>
    <n v="1122.03"/>
    <d v="2014-07-01T00:00:00"/>
    <x v="4"/>
    <x v="4"/>
    <x v="0"/>
    <n v="4610.97"/>
    <n v="0"/>
  </r>
  <r>
    <n v="1706.4"/>
    <n v="17253.599999999999"/>
    <n v="4740"/>
    <n v="12513.599999999999"/>
    <d v="2014-09-01T00:00:00"/>
    <x v="6"/>
    <x v="6"/>
    <x v="0"/>
    <n v="6446.4"/>
    <n v="0"/>
  </r>
  <r>
    <n v="328.23"/>
    <n v="3318.77"/>
    <n v="2605"/>
    <n v="713.77"/>
    <d v="2014-12-01T00:00:00"/>
    <x v="2"/>
    <x v="2"/>
    <x v="0"/>
    <n v="2933.23"/>
    <n v="0"/>
  </r>
  <r>
    <n v="1751.4"/>
    <n v="17708.599999999999"/>
    <n v="9730"/>
    <n v="7978.5999999999985"/>
    <d v="2014-03-01T00:00:00"/>
    <x v="3"/>
    <x v="3"/>
    <x v="0"/>
    <n v="11481.4"/>
    <n v="0"/>
  </r>
  <r>
    <n v="1868.4"/>
    <n v="18891.599999999999"/>
    <n v="10380"/>
    <n v="8511.5999999999985"/>
    <d v="2014-06-01T00:00:00"/>
    <x v="1"/>
    <x v="1"/>
    <x v="0"/>
    <n v="12248.4"/>
    <n v="0"/>
  </r>
  <r>
    <n v="226.8"/>
    <n v="2293.1999999999998"/>
    <n v="1800"/>
    <n v="493.19999999999982"/>
    <d v="2014-10-01T00:00:00"/>
    <x v="7"/>
    <x v="7"/>
    <x v="0"/>
    <n v="2026.8"/>
    <n v="0"/>
  </r>
  <r>
    <n v="2124.36"/>
    <n v="21479.64"/>
    <n v="5901"/>
    <n v="15578.64"/>
    <d v="2014-03-01T00:00:00"/>
    <x v="3"/>
    <x v="3"/>
    <x v="0"/>
    <n v="8025.3600000000006"/>
    <n v="0"/>
  </r>
  <r>
    <n v="3547.8"/>
    <n v="35872.199999999997"/>
    <n v="26280"/>
    <n v="9592.1999999999971"/>
    <d v="2014-04-01T00:00:00"/>
    <x v="10"/>
    <x v="10"/>
    <x v="0"/>
    <n v="29827.8"/>
    <n v="0"/>
  </r>
  <r>
    <n v="226.8"/>
    <n v="2293.1999999999998"/>
    <n v="1800"/>
    <n v="493.19999999999982"/>
    <d v="2014-10-01T00:00:00"/>
    <x v="7"/>
    <x v="7"/>
    <x v="0"/>
    <n v="2026.8"/>
    <n v="0"/>
  </r>
  <r>
    <n v="4827.6000000000004"/>
    <n v="48812.4"/>
    <n v="26820"/>
    <n v="21992.400000000001"/>
    <d v="2013-11-01T00:00:00"/>
    <x v="9"/>
    <x v="9"/>
    <x v="1"/>
    <n v="31647.599999999999"/>
    <n v="0"/>
  </r>
  <r>
    <n v="328.23"/>
    <n v="3318.77"/>
    <n v="2605"/>
    <n v="713.77"/>
    <d v="2014-12-01T00:00:00"/>
    <x v="2"/>
    <x v="2"/>
    <x v="0"/>
    <n v="2933.23"/>
    <n v="0"/>
  </r>
  <r>
    <n v="1868.4"/>
    <n v="18891.599999999999"/>
    <n v="10380"/>
    <n v="8511.5999999999985"/>
    <d v="2014-06-01T00:00:00"/>
    <x v="1"/>
    <x v="1"/>
    <x v="0"/>
    <n v="12248.4"/>
    <n v="0"/>
  </r>
  <r>
    <n v="2201.1750000000002"/>
    <n v="22256.324999999997"/>
    <n v="16305"/>
    <n v="5951.3249999999989"/>
    <d v="2014-07-01T00:00:00"/>
    <x v="4"/>
    <x v="4"/>
    <x v="0"/>
    <n v="18506.174999999999"/>
    <n v="0"/>
  </r>
  <r>
    <n v="330.48"/>
    <n v="3341.52"/>
    <n v="918"/>
    <n v="2423.52"/>
    <d v="2013-12-01T00:00:00"/>
    <x v="2"/>
    <x v="2"/>
    <x v="1"/>
    <n v="1248.48"/>
    <n v="0"/>
  </r>
  <r>
    <n v="463.2"/>
    <n v="4168.8"/>
    <n v="1158"/>
    <n v="3010.8"/>
    <d v="2013-10-01T00:00:00"/>
    <x v="7"/>
    <x v="7"/>
    <x v="1"/>
    <n v="1621.2"/>
    <n v="0"/>
  </r>
  <r>
    <n v="1629.6"/>
    <n v="14666.4"/>
    <n v="11640"/>
    <n v="3026.3999999999996"/>
    <d v="2014-09-01T00:00:00"/>
    <x v="6"/>
    <x v="6"/>
    <x v="0"/>
    <n v="13269.6"/>
    <n v="0"/>
  </r>
  <r>
    <n v="463.2"/>
    <n v="4168.8"/>
    <n v="1158"/>
    <n v="3010.8"/>
    <d v="2013-10-01T00:00:00"/>
    <x v="7"/>
    <x v="7"/>
    <x v="1"/>
    <n v="1621.2"/>
    <n v="0"/>
  </r>
  <r>
    <n v="43068.75"/>
    <n v="387618.75"/>
    <n v="413460"/>
    <n v="-25841.25"/>
    <d v="2014-04-01T00:00:00"/>
    <x v="10"/>
    <x v="10"/>
    <x v="0"/>
    <n v="456528.75"/>
    <n v="0"/>
  </r>
  <r>
    <n v="18525"/>
    <n v="166725"/>
    <n v="177840"/>
    <n v="-11115"/>
    <d v="2013-12-01T00:00:00"/>
    <x v="2"/>
    <x v="2"/>
    <x v="1"/>
    <n v="196365"/>
    <n v="0"/>
  </r>
  <r>
    <n v="80955"/>
    <n v="728595"/>
    <n v="601380"/>
    <n v="127215"/>
    <d v="2014-05-01T00:00:00"/>
    <x v="11"/>
    <x v="11"/>
    <x v="0"/>
    <n v="682335"/>
    <n v="0"/>
  </r>
  <r>
    <n v="22550"/>
    <n v="202950"/>
    <n v="216480"/>
    <n v="-13530"/>
    <d v="2013-11-01T00:00:00"/>
    <x v="9"/>
    <x v="9"/>
    <x v="1"/>
    <n v="239030"/>
    <n v="0"/>
  </r>
  <r>
    <n v="3108"/>
    <n v="27972"/>
    <n v="20720"/>
    <n v="7252"/>
    <d v="2014-12-01T00:00:00"/>
    <x v="2"/>
    <x v="2"/>
    <x v="0"/>
    <n v="23828"/>
    <n v="0"/>
  </r>
  <r>
    <n v="3908"/>
    <n v="35172"/>
    <n v="19540"/>
    <n v="15632"/>
    <d v="2014-03-01T00:00:00"/>
    <x v="3"/>
    <x v="3"/>
    <x v="0"/>
    <n v="23448"/>
    <n v="0"/>
  </r>
  <r>
    <n v="17730"/>
    <n v="159570"/>
    <n v="147750"/>
    <n v="11820"/>
    <d v="2014-05-01T00:00:00"/>
    <x v="11"/>
    <x v="11"/>
    <x v="0"/>
    <n v="165480"/>
    <n v="0"/>
  </r>
  <r>
    <n v="3250.5"/>
    <n v="29254.5"/>
    <n v="21670"/>
    <n v="7584.5"/>
    <d v="2013-10-01T00:00:00"/>
    <x v="7"/>
    <x v="7"/>
    <x v="1"/>
    <n v="24920.5"/>
    <n v="0"/>
  </r>
  <r>
    <n v="482"/>
    <n v="4338"/>
    <n v="2410"/>
    <n v="1928"/>
    <d v="2014-10-01T00:00:00"/>
    <x v="7"/>
    <x v="7"/>
    <x v="0"/>
    <n v="2892"/>
    <n v="0"/>
  </r>
  <r>
    <n v="1021.5"/>
    <n v="9193.5"/>
    <n v="6810"/>
    <n v="2383.5"/>
    <d v="2014-01-01T00:00:00"/>
    <x v="0"/>
    <x v="0"/>
    <x v="0"/>
    <n v="7831.5"/>
    <n v="0"/>
  </r>
  <r>
    <n v="765"/>
    <n v="6885"/>
    <n v="5100"/>
    <n v="1785"/>
    <d v="2014-04-01T00:00:00"/>
    <x v="10"/>
    <x v="10"/>
    <x v="0"/>
    <n v="5865"/>
    <n v="0"/>
  </r>
  <r>
    <n v="1185"/>
    <n v="10665"/>
    <n v="7900"/>
    <n v="2765"/>
    <d v="2014-05-01T00:00:00"/>
    <x v="11"/>
    <x v="11"/>
    <x v="0"/>
    <n v="9085"/>
    <n v="0"/>
  </r>
  <r>
    <n v="22365"/>
    <n v="201285"/>
    <n v="166140"/>
    <n v="35145"/>
    <d v="2014-07-01T00:00:00"/>
    <x v="4"/>
    <x v="4"/>
    <x v="0"/>
    <n v="188505"/>
    <n v="0"/>
  </r>
  <r>
    <n v="19950"/>
    <n v="179550"/>
    <n v="191520"/>
    <n v="-11970"/>
    <d v="2014-09-01T00:00:00"/>
    <x v="6"/>
    <x v="6"/>
    <x v="0"/>
    <n v="211470"/>
    <n v="0"/>
  </r>
  <r>
    <n v="68820"/>
    <n v="619380"/>
    <n v="573500"/>
    <n v="45880"/>
    <d v="2013-10-01T00:00:00"/>
    <x v="7"/>
    <x v="7"/>
    <x v="1"/>
    <n v="642320"/>
    <n v="0"/>
  </r>
  <r>
    <n v="482"/>
    <n v="4338"/>
    <n v="2410"/>
    <n v="1928"/>
    <d v="2014-10-01T00:00:00"/>
    <x v="7"/>
    <x v="7"/>
    <x v="0"/>
    <n v="2892"/>
    <n v="0"/>
  </r>
  <r>
    <n v="1865.5"/>
    <n v="16789.5"/>
    <n v="13325"/>
    <n v="3464.5"/>
    <d v="2014-11-01T00:00:00"/>
    <x v="9"/>
    <x v="9"/>
    <x v="0"/>
    <n v="15190.5"/>
    <n v="0"/>
  </r>
  <r>
    <n v="23950"/>
    <n v="215550"/>
    <n v="229920"/>
    <n v="-14370"/>
    <d v="2013-12-01T00:00:00"/>
    <x v="2"/>
    <x v="2"/>
    <x v="1"/>
    <n v="253870"/>
    <n v="0"/>
  </r>
  <r>
    <n v="25590"/>
    <n v="230310"/>
    <n v="213250"/>
    <n v="17060"/>
    <d v="2014-12-01T00:00:00"/>
    <x v="2"/>
    <x v="2"/>
    <x v="0"/>
    <n v="238840"/>
    <n v="0"/>
  </r>
  <r>
    <n v="4262.5"/>
    <n v="38362.5"/>
    <n v="40920"/>
    <n v="-2557.5"/>
    <d v="2014-05-01T00:00:00"/>
    <x v="11"/>
    <x v="11"/>
    <x v="0"/>
    <n v="45182.5"/>
    <n v="0"/>
  </r>
  <r>
    <n v="961.5"/>
    <n v="8653.5"/>
    <n v="6410"/>
    <n v="2243.5"/>
    <d v="2014-07-01T00:00:00"/>
    <x v="4"/>
    <x v="4"/>
    <x v="0"/>
    <n v="7371.5"/>
    <n v="0"/>
  </r>
  <r>
    <n v="98245"/>
    <n v="884205"/>
    <n v="729820"/>
    <n v="154385"/>
    <d v="2014-08-01T00:00:00"/>
    <x v="5"/>
    <x v="5"/>
    <x v="0"/>
    <n v="828065"/>
    <n v="0"/>
  </r>
  <r>
    <n v="12960"/>
    <n v="116640"/>
    <n v="108000"/>
    <n v="8640"/>
    <d v="2014-09-01T00:00:00"/>
    <x v="6"/>
    <x v="6"/>
    <x v="0"/>
    <n v="120960"/>
    <n v="0"/>
  </r>
  <r>
    <n v="68820"/>
    <n v="619380"/>
    <n v="573500"/>
    <n v="45880"/>
    <d v="2013-10-01T00:00:00"/>
    <x v="7"/>
    <x v="7"/>
    <x v="1"/>
    <n v="642320"/>
    <n v="0"/>
  </r>
  <r>
    <n v="3250.5"/>
    <n v="29254.5"/>
    <n v="21670"/>
    <n v="7584.5"/>
    <d v="2013-10-01T00:00:00"/>
    <x v="7"/>
    <x v="7"/>
    <x v="1"/>
    <n v="24920.5"/>
    <n v="0"/>
  </r>
  <r>
    <n v="31612.5"/>
    <n v="284512.5"/>
    <n v="303480"/>
    <n v="-18967.5"/>
    <d v="2014-11-01T00:00:00"/>
    <x v="9"/>
    <x v="9"/>
    <x v="0"/>
    <n v="335092.5"/>
    <n v="0"/>
  </r>
  <r>
    <n v="65450"/>
    <n v="589050"/>
    <n v="486200"/>
    <n v="102850"/>
    <d v="2013-12-01T00:00:00"/>
    <x v="2"/>
    <x v="2"/>
    <x v="1"/>
    <n v="551650"/>
    <n v="0"/>
  </r>
  <r>
    <n v="7237.5"/>
    <n v="65137.5"/>
    <n v="69480"/>
    <n v="-4342.5"/>
    <d v="2014-01-01T00:00:00"/>
    <x v="0"/>
    <x v="0"/>
    <x v="0"/>
    <n v="76717.5"/>
    <n v="0"/>
  </r>
  <r>
    <n v="78400"/>
    <n v="705600"/>
    <n v="582400"/>
    <n v="123200"/>
    <d v="2014-02-01T00:00:00"/>
    <x v="8"/>
    <x v="8"/>
    <x v="0"/>
    <n v="660800"/>
    <n v="0"/>
  </r>
  <r>
    <n v="89790"/>
    <n v="808110"/>
    <n v="748250"/>
    <n v="59860"/>
    <d v="2014-03-01T00:00:00"/>
    <x v="3"/>
    <x v="3"/>
    <x v="0"/>
    <n v="838040"/>
    <n v="0"/>
  </r>
  <r>
    <n v="4224.6000000000004"/>
    <n v="38021.399999999994"/>
    <n v="10561.5"/>
    <n v="27459.899999999998"/>
    <d v="2014-04-01T00:00:00"/>
    <x v="10"/>
    <x v="10"/>
    <x v="0"/>
    <n v="14786.1"/>
    <n v="0"/>
  </r>
  <r>
    <n v="4078"/>
    <n v="36702"/>
    <n v="20390"/>
    <n v="16312"/>
    <d v="2014-05-01T00:00:00"/>
    <x v="11"/>
    <x v="11"/>
    <x v="0"/>
    <n v="24468"/>
    <n v="0"/>
  </r>
  <r>
    <n v="3088.8"/>
    <n v="27799.200000000001"/>
    <n v="7722"/>
    <n v="20077.2"/>
    <d v="2014-08-01T00:00:00"/>
    <x v="5"/>
    <x v="5"/>
    <x v="0"/>
    <n v="10810.8"/>
    <n v="0"/>
  </r>
  <r>
    <n v="24745"/>
    <n v="222705"/>
    <n v="183820"/>
    <n v="38885"/>
    <d v="2014-09-01T00:00:00"/>
    <x v="6"/>
    <x v="6"/>
    <x v="0"/>
    <n v="208565"/>
    <n v="0"/>
  </r>
  <r>
    <n v="3108"/>
    <n v="27972"/>
    <n v="20720"/>
    <n v="7252"/>
    <d v="2014-12-01T00:00:00"/>
    <x v="2"/>
    <x v="2"/>
    <x v="0"/>
    <n v="23828"/>
    <n v="0"/>
  </r>
  <r>
    <n v="25590"/>
    <n v="230310"/>
    <n v="213250"/>
    <n v="17060"/>
    <d v="2014-12-01T00:00:00"/>
    <x v="2"/>
    <x v="2"/>
    <x v="0"/>
    <n v="238840"/>
    <n v="0"/>
  </r>
  <r>
    <n v="1581.36"/>
    <n v="12794.64"/>
    <n v="3594"/>
    <n v="9200.64"/>
    <d v="2013-10-01T00:00:00"/>
    <x v="7"/>
    <x v="7"/>
    <x v="1"/>
    <n v="5175.3599999999997"/>
    <n v="0"/>
  </r>
  <r>
    <n v="1949.6399999999999"/>
    <n v="15774.36"/>
    <n v="12660"/>
    <n v="3114.3599999999997"/>
    <d v="2014-04-01T00:00:00"/>
    <x v="10"/>
    <x v="10"/>
    <x v="0"/>
    <n v="14609.64"/>
    <n v="0"/>
  </r>
  <r>
    <n v="1581.36"/>
    <n v="12794.64"/>
    <n v="3594"/>
    <n v="9200.64"/>
    <d v="2013-10-01T00:00:00"/>
    <x v="7"/>
    <x v="7"/>
    <x v="1"/>
    <n v="5175.3599999999997"/>
    <n v="0"/>
  </r>
  <r>
    <n v="633.59999999999991"/>
    <n v="5126.3999999999996"/>
    <n v="3840"/>
    <n v="1286.3999999999999"/>
    <d v="2014-01-01T00:00:00"/>
    <x v="0"/>
    <x v="0"/>
    <x v="0"/>
    <n v="4473.6000000000004"/>
    <n v="0"/>
  </r>
  <r>
    <n v="623.04"/>
    <n v="5040.96"/>
    <n v="1416"/>
    <n v="3624.96"/>
    <d v="2014-10-01T00:00:00"/>
    <x v="7"/>
    <x v="7"/>
    <x v="0"/>
    <n v="2039.04"/>
    <n v="0"/>
  </r>
  <r>
    <n v="1215.83"/>
    <n v="9837.17"/>
    <n v="7895"/>
    <n v="1942.17"/>
    <d v="2014-03-01T00:00:00"/>
    <x v="3"/>
    <x v="3"/>
    <x v="0"/>
    <n v="9110.83"/>
    <n v="0"/>
  </r>
  <r>
    <n v="1326.6"/>
    <n v="10733.4"/>
    <n v="3015"/>
    <n v="7718.4"/>
    <d v="2013-09-01T00:00:00"/>
    <x v="6"/>
    <x v="6"/>
    <x v="1"/>
    <n v="4341.6000000000004"/>
    <n v="0"/>
  </r>
  <r>
    <n v="5279.1749999999993"/>
    <n v="42713.324999999997"/>
    <n v="31995"/>
    <n v="10718.324999999999"/>
    <d v="2014-07-01T00:00:00"/>
    <x v="4"/>
    <x v="4"/>
    <x v="0"/>
    <n v="37274.175000000003"/>
    <n v="0"/>
  </r>
  <r>
    <n v="623.04"/>
    <n v="5040.96"/>
    <n v="1416"/>
    <n v="3624.96"/>
    <d v="2014-10-01T00:00:00"/>
    <x v="7"/>
    <x v="7"/>
    <x v="0"/>
    <n v="2039.04"/>
    <n v="0"/>
  </r>
  <r>
    <n v="2556.84"/>
    <n v="20687.16"/>
    <n v="5811"/>
    <n v="14876.16"/>
    <d v="2014-02-01T00:00:00"/>
    <x v="8"/>
    <x v="8"/>
    <x v="0"/>
    <n v="8367.84"/>
    <n v="0"/>
  </r>
  <r>
    <n v="30492"/>
    <n v="246708"/>
    <n v="205920"/>
    <n v="40788"/>
    <d v="2014-03-01T00:00:00"/>
    <x v="3"/>
    <x v="3"/>
    <x v="0"/>
    <n v="236412"/>
    <n v="0"/>
  </r>
  <r>
    <n v="92763"/>
    <n v="750537"/>
    <n v="702750"/>
    <n v="47787"/>
    <d v="2014-07-01T00:00:00"/>
    <x v="4"/>
    <x v="4"/>
    <x v="0"/>
    <n v="795513"/>
    <n v="0"/>
  </r>
  <r>
    <n v="33563.75"/>
    <n v="271561.25"/>
    <n v="292920"/>
    <n v="-21358.75"/>
    <d v="2014-10-01T00:00:00"/>
    <x v="7"/>
    <x v="7"/>
    <x v="0"/>
    <n v="326483.75"/>
    <n v="0"/>
  </r>
  <r>
    <n v="2574"/>
    <n v="20826"/>
    <n v="15600"/>
    <n v="5226"/>
    <d v="2013-11-01T00:00:00"/>
    <x v="9"/>
    <x v="9"/>
    <x v="1"/>
    <n v="18174"/>
    <n v="0"/>
  </r>
  <r>
    <n v="2083.62"/>
    <n v="16858.38"/>
    <n v="13530"/>
    <n v="3328.380000000001"/>
    <d v="2013-11-01T00:00:00"/>
    <x v="9"/>
    <x v="9"/>
    <x v="1"/>
    <n v="15613.619999999999"/>
    <n v="0"/>
  </r>
  <r>
    <n v="29491"/>
    <n v="238609"/>
    <n v="199160"/>
    <n v="39449"/>
    <d v="2014-01-01T00:00:00"/>
    <x v="0"/>
    <x v="0"/>
    <x v="0"/>
    <n v="228651"/>
    <n v="0"/>
  </r>
  <r>
    <n v="6582.4"/>
    <n v="53257.599999999999"/>
    <n v="29920"/>
    <n v="23337.599999999999"/>
    <d v="2013-10-01T00:00:00"/>
    <x v="7"/>
    <x v="7"/>
    <x v="1"/>
    <n v="36502.400000000001"/>
    <n v="0"/>
  </r>
  <r>
    <n v="3559.05"/>
    <n v="28795.95"/>
    <n v="21570"/>
    <n v="7225.9500000000007"/>
    <d v="2014-12-01T00:00:00"/>
    <x v="2"/>
    <x v="2"/>
    <x v="0"/>
    <n v="25129.05"/>
    <n v="0"/>
  </r>
  <r>
    <n v="28809"/>
    <n v="233091"/>
    <n v="218250"/>
    <n v="14841"/>
    <d v="2014-01-01T00:00:00"/>
    <x v="0"/>
    <x v="0"/>
    <x v="0"/>
    <n v="247059"/>
    <n v="0"/>
  </r>
  <r>
    <n v="2468.4"/>
    <n v="19971.599999999999"/>
    <n v="11220"/>
    <n v="8751.5999999999985"/>
    <d v="2014-03-01T00:00:00"/>
    <x v="3"/>
    <x v="3"/>
    <x v="0"/>
    <n v="13688.4"/>
    <n v="0"/>
  </r>
  <r>
    <n v="81023.25"/>
    <n v="655551.75"/>
    <n v="547170"/>
    <n v="108381.75"/>
    <d v="2014-07-01T00:00:00"/>
    <x v="4"/>
    <x v="4"/>
    <x v="0"/>
    <n v="628193.25"/>
    <n v="0"/>
  </r>
  <r>
    <n v="5314.32"/>
    <n v="42997.68"/>
    <n v="12078"/>
    <n v="30919.68"/>
    <d v="2014-07-01T00:00:00"/>
    <x v="4"/>
    <x v="4"/>
    <x v="0"/>
    <n v="17392.32"/>
    <n v="0"/>
  </r>
  <r>
    <n v="3201.66"/>
    <n v="25904.340000000004"/>
    <n v="7276.5"/>
    <n v="18627.840000000004"/>
    <d v="2014-07-01T00:00:00"/>
    <x v="4"/>
    <x v="4"/>
    <x v="0"/>
    <n v="10478.16"/>
    <n v="0"/>
  </r>
  <r>
    <n v="5266.8"/>
    <n v="42613.2"/>
    <n v="23940"/>
    <n v="18673.199999999997"/>
    <d v="2014-08-01T00:00:00"/>
    <x v="5"/>
    <x v="5"/>
    <x v="0"/>
    <n v="29206.799999999999"/>
    <n v="0"/>
  </r>
  <r>
    <n v="3273.6"/>
    <n v="26486.400000000001"/>
    <n v="19840"/>
    <n v="6646.4000000000015"/>
    <d v="2014-08-01T00:00:00"/>
    <x v="5"/>
    <x v="5"/>
    <x v="0"/>
    <n v="23113.599999999999"/>
    <n v="0"/>
  </r>
  <r>
    <n v="33563.75"/>
    <n v="271561.25"/>
    <n v="292920"/>
    <n v="-21358.75"/>
    <d v="2014-10-01T00:00:00"/>
    <x v="7"/>
    <x v="7"/>
    <x v="0"/>
    <n v="326483.75"/>
    <n v="0"/>
  </r>
  <r>
    <n v="6582.4"/>
    <n v="53257.599999999999"/>
    <n v="29920"/>
    <n v="23337.599999999999"/>
    <d v="2013-10-01T00:00:00"/>
    <x v="7"/>
    <x v="7"/>
    <x v="1"/>
    <n v="36502.400000000001"/>
    <n v="0"/>
  </r>
  <r>
    <n v="45078"/>
    <n v="364722"/>
    <n v="341500"/>
    <n v="23222"/>
    <d v="2014-11-01T00:00:00"/>
    <x v="9"/>
    <x v="9"/>
    <x v="0"/>
    <n v="386578"/>
    <n v="0"/>
  </r>
  <r>
    <n v="6171"/>
    <n v="49929"/>
    <n v="28050"/>
    <n v="21879"/>
    <d v="2013-09-01T00:00:00"/>
    <x v="6"/>
    <x v="6"/>
    <x v="1"/>
    <n v="34221"/>
    <n v="0"/>
  </r>
  <r>
    <n v="1080.75"/>
    <n v="8744.25"/>
    <n v="6550"/>
    <n v="2194.25"/>
    <d v="2013-09-01T00:00:00"/>
    <x v="6"/>
    <x v="6"/>
    <x v="1"/>
    <n v="7630.75"/>
    <n v="0"/>
  </r>
  <r>
    <n v="13244"/>
    <n v="107156"/>
    <n v="89440"/>
    <n v="17716"/>
    <d v="2013-10-01T00:00:00"/>
    <x v="7"/>
    <x v="7"/>
    <x v="1"/>
    <n v="102684"/>
    <n v="0"/>
  </r>
  <r>
    <n v="1392.16"/>
    <n v="11263.84"/>
    <n v="9040"/>
    <n v="2223.84"/>
    <d v="2014-11-01T00:00:00"/>
    <x v="9"/>
    <x v="9"/>
    <x v="0"/>
    <n v="10432.16"/>
    <n v="0"/>
  </r>
  <r>
    <n v="2288.88"/>
    <n v="18519.12"/>
    <n v="5202"/>
    <n v="13317.119999999999"/>
    <d v="2014-01-01T00:00:00"/>
    <x v="0"/>
    <x v="0"/>
    <x v="0"/>
    <n v="7490.88"/>
    <n v="0"/>
  </r>
  <r>
    <n v="7617.5"/>
    <n v="61632.5"/>
    <n v="66480"/>
    <n v="-4847.5"/>
    <d v="2014-01-01T00:00:00"/>
    <x v="0"/>
    <x v="0"/>
    <x v="0"/>
    <n v="74097.5"/>
    <n v="0"/>
  </r>
  <r>
    <n v="6457"/>
    <n v="52243"/>
    <n v="29350"/>
    <n v="22893"/>
    <d v="2013-11-01T00:00:00"/>
    <x v="9"/>
    <x v="9"/>
    <x v="1"/>
    <n v="35807"/>
    <n v="0"/>
  </r>
  <r>
    <n v="43518.75"/>
    <n v="352106.25"/>
    <n v="379800"/>
    <n v="-27693.75"/>
    <d v="2014-01-01T00:00:00"/>
    <x v="0"/>
    <x v="0"/>
    <x v="0"/>
    <n v="423318.75"/>
    <n v="0"/>
  </r>
  <r>
    <n v="5783.8"/>
    <n v="46796.2"/>
    <n v="26290"/>
    <n v="20506.199999999997"/>
    <d v="2014-01-01T00:00:00"/>
    <x v="0"/>
    <x v="0"/>
    <x v="0"/>
    <n v="32073.8"/>
    <n v="0"/>
  </r>
  <r>
    <n v="19703.75"/>
    <n v="159421.25"/>
    <n v="171960"/>
    <n v="-12538.75"/>
    <d v="2014-05-01T00:00:00"/>
    <x v="11"/>
    <x v="11"/>
    <x v="0"/>
    <n v="191663.75"/>
    <n v="0"/>
  </r>
  <r>
    <n v="13021.25"/>
    <n v="105353.75"/>
    <n v="113640"/>
    <n v="-8286.25"/>
    <d v="2013-09-01T00:00:00"/>
    <x v="6"/>
    <x v="6"/>
    <x v="1"/>
    <n v="126661.25"/>
    <n v="0"/>
  </r>
  <r>
    <n v="13244"/>
    <n v="107156"/>
    <n v="89440"/>
    <n v="17716"/>
    <d v="2013-10-01T00:00:00"/>
    <x v="7"/>
    <x v="7"/>
    <x v="1"/>
    <n v="102684"/>
    <n v="0"/>
  </r>
  <r>
    <n v="3559.05"/>
    <n v="28795.95"/>
    <n v="21570"/>
    <n v="7225.9500000000007"/>
    <d v="2014-12-01T00:00:00"/>
    <x v="2"/>
    <x v="2"/>
    <x v="0"/>
    <n v="25129.05"/>
    <n v="0"/>
  </r>
  <r>
    <n v="292.60000000000002"/>
    <n v="2367.4"/>
    <n v="1900"/>
    <n v="467.40000000000009"/>
    <d v="2013-09-01T00:00:00"/>
    <x v="6"/>
    <x v="6"/>
    <x v="1"/>
    <n v="2192.6"/>
    <n v="0"/>
  </r>
  <r>
    <n v="37212"/>
    <n v="272888"/>
    <n v="230360"/>
    <n v="42528"/>
    <d v="2014-06-01T00:00:00"/>
    <x v="1"/>
    <x v="1"/>
    <x v="0"/>
    <n v="267572"/>
    <n v="0"/>
  </r>
  <r>
    <n v="36240"/>
    <n v="265760"/>
    <n v="289920"/>
    <n v="-24160"/>
    <d v="2013-09-01T00:00:00"/>
    <x v="6"/>
    <x v="6"/>
    <x v="1"/>
    <n v="326160"/>
    <n v="0"/>
  </r>
  <r>
    <n v="32340"/>
    <n v="237160"/>
    <n v="258720"/>
    <n v="-21560"/>
    <d v="2014-10-01T00:00:00"/>
    <x v="7"/>
    <x v="7"/>
    <x v="0"/>
    <n v="291060"/>
    <n v="0"/>
  </r>
  <r>
    <n v="4840.2"/>
    <n v="35494.800000000003"/>
    <n v="26890"/>
    <n v="8604.8000000000029"/>
    <d v="2014-11-01T00:00:00"/>
    <x v="9"/>
    <x v="9"/>
    <x v="0"/>
    <n v="31730.2"/>
    <n v="0"/>
  </r>
  <r>
    <n v="1218.5999999999999"/>
    <n v="8936.4"/>
    <n v="6770"/>
    <n v="2166.3999999999996"/>
    <d v="2014-03-01T00:00:00"/>
    <x v="3"/>
    <x v="3"/>
    <x v="0"/>
    <n v="7988.6"/>
    <n v="0"/>
  </r>
  <r>
    <n v="63828"/>
    <n v="468072"/>
    <n v="443250"/>
    <n v="24822"/>
    <d v="2014-04-01T00:00:00"/>
    <x v="10"/>
    <x v="10"/>
    <x v="0"/>
    <n v="507078"/>
    <n v="0"/>
  </r>
  <r>
    <n v="2032.8"/>
    <n v="14907.2"/>
    <n v="12100"/>
    <n v="2807.2000000000007"/>
    <d v="2014-09-01T00:00:00"/>
    <x v="6"/>
    <x v="6"/>
    <x v="0"/>
    <n v="14132.8"/>
    <n v="0"/>
  </r>
  <r>
    <n v="2296.56"/>
    <n v="16841.439999999999"/>
    <n v="13670"/>
    <n v="3171.4399999999987"/>
    <d v="2014-10-01T00:00:00"/>
    <x v="7"/>
    <x v="7"/>
    <x v="0"/>
    <n v="15966.56"/>
    <n v="0"/>
  </r>
  <r>
    <n v="4116"/>
    <n v="30184"/>
    <n v="17150"/>
    <n v="13034"/>
    <d v="2013-10-01T00:00:00"/>
    <x v="7"/>
    <x v="7"/>
    <x v="1"/>
    <n v="21266"/>
    <n v="0"/>
  </r>
  <r>
    <n v="42696"/>
    <n v="313104"/>
    <n v="296500"/>
    <n v="16604"/>
    <d v="2013-12-01T00:00:00"/>
    <x v="2"/>
    <x v="2"/>
    <x v="1"/>
    <n v="339196"/>
    <n v="0"/>
  </r>
  <r>
    <n v="125820"/>
    <n v="922680"/>
    <n v="873750"/>
    <n v="48930"/>
    <d v="2014-01-01T00:00:00"/>
    <x v="0"/>
    <x v="0"/>
    <x v="0"/>
    <n v="999570"/>
    <n v="0"/>
  </r>
  <r>
    <n v="37212"/>
    <n v="272888"/>
    <n v="230360"/>
    <n v="42528"/>
    <d v="2014-06-01T00:00:00"/>
    <x v="1"/>
    <x v="1"/>
    <x v="0"/>
    <n v="267572"/>
    <n v="0"/>
  </r>
  <r>
    <n v="32340"/>
    <n v="237160"/>
    <n v="258720"/>
    <n v="-21560"/>
    <d v="2014-10-01T00:00:00"/>
    <x v="7"/>
    <x v="7"/>
    <x v="0"/>
    <n v="291060"/>
    <n v="0"/>
  </r>
  <r>
    <n v="2172"/>
    <n v="15928"/>
    <n v="9050"/>
    <n v="6878"/>
    <d v="2014-10-01T00:00:00"/>
    <x v="7"/>
    <x v="7"/>
    <x v="0"/>
    <n v="11222"/>
    <n v="0"/>
  </r>
  <r>
    <n v="4116"/>
    <n v="30184"/>
    <n v="17150"/>
    <n v="13034"/>
    <d v="2013-10-01T00:00:00"/>
    <x v="7"/>
    <x v="7"/>
    <x v="1"/>
    <n v="21266"/>
    <n v="0"/>
  </r>
  <r>
    <n v="66948"/>
    <n v="490952"/>
    <n v="414440"/>
    <n v="76512"/>
    <d v="2014-11-01T00:00:00"/>
    <x v="9"/>
    <x v="9"/>
    <x v="0"/>
    <n v="481388"/>
    <n v="0"/>
  </r>
  <r>
    <n v="48924"/>
    <n v="358776"/>
    <n v="339750"/>
    <n v="19026"/>
    <d v="2014-11-01T00:00:00"/>
    <x v="9"/>
    <x v="9"/>
    <x v="0"/>
    <n v="388674"/>
    <n v="0"/>
  </r>
  <r>
    <n v="77400"/>
    <n v="567600"/>
    <n v="537500"/>
    <n v="30100"/>
    <d v="2014-11-01T00:00:00"/>
    <x v="9"/>
    <x v="9"/>
    <x v="0"/>
    <n v="614900"/>
    <n v="0"/>
  </r>
  <r>
    <n v="50274"/>
    <n v="368676"/>
    <n v="311220"/>
    <n v="57456"/>
    <d v="2014-11-01T00:00:00"/>
    <x v="9"/>
    <x v="9"/>
    <x v="0"/>
    <n v="361494"/>
    <n v="0"/>
  </r>
  <r>
    <n v="684"/>
    <n v="5016"/>
    <n v="3800"/>
    <n v="1216"/>
    <d v="2013-12-01T00:00:00"/>
    <x v="2"/>
    <x v="2"/>
    <x v="1"/>
    <n v="4484"/>
    <n v="0"/>
  </r>
  <r>
    <n v="2959.2"/>
    <n v="21700.799999999999"/>
    <n v="12330"/>
    <n v="9370.7999999999993"/>
    <d v="2014-12-01T00:00:00"/>
    <x v="2"/>
    <x v="2"/>
    <x v="0"/>
    <n v="15289.2"/>
    <n v="0"/>
  </r>
  <r>
    <n v="58590"/>
    <n v="429660"/>
    <n v="362700"/>
    <n v="66960"/>
    <d v="2014-07-01T00:00:00"/>
    <x v="4"/>
    <x v="4"/>
    <x v="0"/>
    <n v="421290"/>
    <n v="0"/>
  </r>
  <r>
    <n v="41412"/>
    <n v="303688"/>
    <n v="256360"/>
    <n v="47328"/>
    <d v="2014-10-01T00:00:00"/>
    <x v="7"/>
    <x v="7"/>
    <x v="0"/>
    <n v="297772"/>
    <n v="0"/>
  </r>
  <r>
    <n v="2172"/>
    <n v="15928"/>
    <n v="9050"/>
    <n v="6878"/>
    <d v="2014-10-01T00:00:00"/>
    <x v="7"/>
    <x v="7"/>
    <x v="0"/>
    <n v="11222"/>
    <n v="0"/>
  </r>
  <r>
    <n v="3036.96"/>
    <n v="22271.040000000001"/>
    <n v="6327"/>
    <n v="15944.04"/>
    <d v="2014-05-01T00:00:00"/>
    <x v="11"/>
    <x v="11"/>
    <x v="0"/>
    <n v="9363.9599999999991"/>
    <n v="0"/>
  </r>
  <r>
    <n v="6974.0999999999995"/>
    <n v="51143.399999999994"/>
    <n v="38745"/>
    <n v="12398.399999999998"/>
    <d v="2014-07-01T00:00:00"/>
    <x v="4"/>
    <x v="4"/>
    <x v="0"/>
    <n v="45719.1"/>
    <n v="0"/>
  </r>
  <r>
    <n v="26166"/>
    <n v="191884"/>
    <n v="161980"/>
    <n v="29904"/>
    <d v="2013-09-01T00:00:00"/>
    <x v="6"/>
    <x v="6"/>
    <x v="1"/>
    <n v="188146"/>
    <n v="0"/>
  </r>
  <r>
    <n v="41412"/>
    <n v="303688"/>
    <n v="256360"/>
    <n v="47328"/>
    <d v="2014-10-01T00:00:00"/>
    <x v="7"/>
    <x v="7"/>
    <x v="0"/>
    <n v="297772"/>
    <n v="0"/>
  </r>
  <r>
    <n v="35805"/>
    <n v="262570"/>
    <n v="286440"/>
    <n v="-23870"/>
    <d v="2014-11-01T00:00:00"/>
    <x v="9"/>
    <x v="9"/>
    <x v="0"/>
    <n v="322245"/>
    <n v="0"/>
  </r>
  <r>
    <n v="2959.2"/>
    <n v="21700.799999999999"/>
    <n v="12330"/>
    <n v="9370.7999999999993"/>
    <d v="2014-12-01T00:00:00"/>
    <x v="2"/>
    <x v="2"/>
    <x v="0"/>
    <n v="15289.2"/>
    <n v="0"/>
  </r>
  <r>
    <n v="11340"/>
    <n v="83160"/>
    <n v="70200"/>
    <n v="12960"/>
    <d v="2014-02-01T00:00:00"/>
    <x v="8"/>
    <x v="8"/>
    <x v="0"/>
    <n v="81540"/>
    <n v="0"/>
  </r>
  <r>
    <n v="2874.06"/>
    <n v="21076.44"/>
    <n v="17107.5"/>
    <n v="3968.9399999999987"/>
    <d v="2014-07-01T00:00:00"/>
    <x v="4"/>
    <x v="4"/>
    <x v="0"/>
    <n v="19981.560000000001"/>
    <n v="0"/>
  </r>
  <r>
    <n v="2296.56"/>
    <n v="16841.439999999999"/>
    <n v="13670"/>
    <n v="3171.4399999999987"/>
    <d v="2014-10-01T00:00:00"/>
    <x v="7"/>
    <x v="7"/>
    <x v="0"/>
    <n v="15966.56"/>
    <n v="0"/>
  </r>
  <r>
    <n v="4586.3999999999996"/>
    <n v="33633.599999999999"/>
    <n v="25480"/>
    <n v="8153.5999999999985"/>
    <d v="2013-11-01T00:00:00"/>
    <x v="9"/>
    <x v="9"/>
    <x v="1"/>
    <n v="30066.400000000001"/>
    <n v="0"/>
  </r>
  <r>
    <n v="6051.6"/>
    <n v="44378.399999999994"/>
    <n v="25215"/>
    <n v="19163.399999999998"/>
    <d v="2014-01-01T00:00:00"/>
    <x v="0"/>
    <x v="0"/>
    <x v="0"/>
    <n v="31266.6"/>
    <n v="0"/>
  </r>
  <r>
    <n v="3831.84"/>
    <n v="28100.16"/>
    <n v="7983"/>
    <n v="20117.16"/>
    <d v="2014-05-01T00:00:00"/>
    <x v="11"/>
    <x v="11"/>
    <x v="0"/>
    <n v="11814.84"/>
    <n v="0"/>
  </r>
  <r>
    <n v="3674.4"/>
    <n v="26945.599999999999"/>
    <n v="15310"/>
    <n v="11635.599999999999"/>
    <d v="2014-12-01T00:00:00"/>
    <x v="2"/>
    <x v="2"/>
    <x v="0"/>
    <n v="18984.400000000001"/>
    <n v="0"/>
  </r>
  <r>
    <n v="1252.44"/>
    <n v="9184.56"/>
    <n v="7455"/>
    <n v="1729.5599999999995"/>
    <d v="2014-03-01T00:00:00"/>
    <x v="3"/>
    <x v="3"/>
    <x v="0"/>
    <n v="8707.44"/>
    <n v="0"/>
  </r>
  <r>
    <n v="3674.4"/>
    <n v="26945.599999999999"/>
    <n v="15310"/>
    <n v="11635.599999999999"/>
    <d v="2014-12-01T00:00:00"/>
    <x v="2"/>
    <x v="2"/>
    <x v="0"/>
    <n v="18984.400000000001"/>
    <n v="0"/>
  </r>
  <r>
    <n v="3975.84"/>
    <n v="29156.16"/>
    <n v="8283"/>
    <n v="20873.16"/>
    <d v="2013-09-01T00:00:00"/>
    <x v="6"/>
    <x v="6"/>
    <x v="1"/>
    <n v="12258.84"/>
    <n v="0"/>
  </r>
  <r>
    <n v="5005.6499999999996"/>
    <n v="33499.35"/>
    <n v="25670"/>
    <n v="7829.3499999999985"/>
    <d v="2014-06-01T00:00:00"/>
    <x v="1"/>
    <x v="1"/>
    <x v="0"/>
    <n v="30675.65"/>
    <n v="0"/>
  </r>
  <r>
    <n v="5005.6499999999996"/>
    <n v="33499.35"/>
    <n v="25670"/>
    <n v="7829.3499999999985"/>
    <d v="2014-06-01T00:00:00"/>
    <x v="1"/>
    <x v="1"/>
    <x v="0"/>
    <n v="30675.65"/>
    <n v="0"/>
  </r>
  <r>
    <n v="41996.5"/>
    <n v="281053.5"/>
    <n v="239980"/>
    <n v="41073.5"/>
    <d v="2014-03-01T00:00:00"/>
    <x v="3"/>
    <x v="3"/>
    <x v="0"/>
    <n v="281976.5"/>
    <n v="0"/>
  </r>
  <r>
    <n v="81445"/>
    <n v="545055"/>
    <n v="465400"/>
    <n v="79655"/>
    <d v="2014-03-01T00:00:00"/>
    <x v="3"/>
    <x v="3"/>
    <x v="0"/>
    <n v="546845"/>
    <n v="0"/>
  </r>
  <r>
    <n v="1149.2"/>
    <n v="7690.8"/>
    <n v="4420"/>
    <n v="3270.8"/>
    <d v="2013-09-01T00:00:00"/>
    <x v="6"/>
    <x v="6"/>
    <x v="1"/>
    <n v="5569.2"/>
    <n v="0"/>
  </r>
  <r>
    <n v="44703.75"/>
    <n v="299171.25"/>
    <n v="255450"/>
    <n v="43721.25"/>
    <d v="2014-01-01T00:00:00"/>
    <x v="0"/>
    <x v="0"/>
    <x v="0"/>
    <n v="300153.75"/>
    <n v="0"/>
  </r>
  <r>
    <n v="1181.18"/>
    <n v="7904.82"/>
    <n v="6490"/>
    <n v="1414.8199999999997"/>
    <d v="2014-02-01T00:00:00"/>
    <x v="8"/>
    <x v="8"/>
    <x v="0"/>
    <n v="7671.18"/>
    <n v="0"/>
  </r>
  <r>
    <n v="942.24"/>
    <n v="6305.76"/>
    <n v="1812"/>
    <n v="4493.76"/>
    <d v="2014-06-01T00:00:00"/>
    <x v="1"/>
    <x v="1"/>
    <x v="0"/>
    <n v="2754.24"/>
    <n v="0"/>
  </r>
  <r>
    <n v="5863"/>
    <n v="39237"/>
    <n v="22550"/>
    <n v="16687"/>
    <d v="2014-07-01T00:00:00"/>
    <x v="4"/>
    <x v="4"/>
    <x v="0"/>
    <n v="28413"/>
    <n v="0"/>
  </r>
  <r>
    <n v="3247.4"/>
    <n v="21732.6"/>
    <n v="12490"/>
    <n v="9242.5999999999985"/>
    <d v="2014-10-01T00:00:00"/>
    <x v="7"/>
    <x v="7"/>
    <x v="0"/>
    <n v="15737.4"/>
    <n v="0"/>
  </r>
  <r>
    <n v="1309.0350000000001"/>
    <n v="8760.4650000000001"/>
    <n v="7192.5"/>
    <n v="1567.9649999999992"/>
    <d v="2014-01-01T00:00:00"/>
    <x v="0"/>
    <x v="0"/>
    <x v="0"/>
    <n v="8501.5349999999999"/>
    <n v="0"/>
  </r>
  <r>
    <n v="31473"/>
    <n v="210627"/>
    <n v="201750"/>
    <n v="8877"/>
    <d v="2014-01-01T00:00:00"/>
    <x v="0"/>
    <x v="0"/>
    <x v="0"/>
    <n v="233223"/>
    <n v="0"/>
  </r>
  <r>
    <n v="6866.6"/>
    <n v="45953.4"/>
    <n v="26410"/>
    <n v="19543.400000000001"/>
    <d v="2014-02-01T00:00:00"/>
    <x v="8"/>
    <x v="8"/>
    <x v="0"/>
    <n v="33276.6"/>
    <n v="0"/>
  </r>
  <r>
    <n v="7040.8"/>
    <n v="47119.199999999997"/>
    <n v="27080"/>
    <n v="20039.199999999997"/>
    <d v="2014-02-01T00:00:00"/>
    <x v="8"/>
    <x v="8"/>
    <x v="0"/>
    <n v="34120.800000000003"/>
    <n v="0"/>
  </r>
  <r>
    <n v="119756"/>
    <n v="801444"/>
    <n v="684320"/>
    <n v="117124"/>
    <d v="2014-06-01T00:00:00"/>
    <x v="1"/>
    <x v="1"/>
    <x v="0"/>
    <n v="804076"/>
    <n v="0"/>
  </r>
  <r>
    <n v="25723.75"/>
    <n v="172151.25"/>
    <n v="189960"/>
    <n v="-17808.75"/>
    <d v="2014-06-01T00:00:00"/>
    <x v="1"/>
    <x v="1"/>
    <x v="0"/>
    <n v="215683.75"/>
    <n v="0"/>
  </r>
  <r>
    <n v="890.76"/>
    <n v="5961.24"/>
    <n v="1713"/>
    <n v="4248.24"/>
    <d v="2014-07-01T00:00:00"/>
    <x v="4"/>
    <x v="4"/>
    <x v="0"/>
    <n v="2603.7600000000002"/>
    <n v="0"/>
  </r>
  <r>
    <n v="2453.36"/>
    <n v="16418.64"/>
    <n v="13480"/>
    <n v="2938.6399999999994"/>
    <d v="2014-08-01T00:00:00"/>
    <x v="5"/>
    <x v="5"/>
    <x v="0"/>
    <n v="15933.36"/>
    <n v="0"/>
  </r>
  <r>
    <n v="3051.75"/>
    <n v="20423.25"/>
    <n v="15650"/>
    <n v="4773.25"/>
    <d v="2014-10-01T00:00:00"/>
    <x v="7"/>
    <x v="7"/>
    <x v="0"/>
    <n v="18701.75"/>
    <n v="0"/>
  </r>
  <r>
    <n v="3247.4"/>
    <n v="21732.6"/>
    <n v="12490"/>
    <n v="9242.5999999999985"/>
    <d v="2014-10-01T00:00:00"/>
    <x v="7"/>
    <x v="7"/>
    <x v="0"/>
    <n v="15737.4"/>
    <n v="0"/>
  </r>
  <r>
    <n v="16243.5"/>
    <n v="108706.5"/>
    <n v="92820"/>
    <n v="15886.5"/>
    <d v="2014-11-01T00:00:00"/>
    <x v="9"/>
    <x v="9"/>
    <x v="0"/>
    <n v="109063.5"/>
    <n v="0"/>
  </r>
  <r>
    <n v="1580.28"/>
    <n v="10575.72"/>
    <n v="3039"/>
    <n v="7536.7199999999993"/>
    <d v="2014-12-01T00:00:00"/>
    <x v="2"/>
    <x v="2"/>
    <x v="0"/>
    <n v="4619.28"/>
    <n v="0"/>
  </r>
  <r>
    <n v="7795.125"/>
    <n v="52167.375"/>
    <n v="39975"/>
    <n v="12192.375"/>
    <d v="2014-01-01T00:00:00"/>
    <x v="0"/>
    <x v="0"/>
    <x v="0"/>
    <n v="47770.125"/>
    <n v="0"/>
  </r>
  <r>
    <n v="119756"/>
    <n v="801444"/>
    <n v="684320"/>
    <n v="117124"/>
    <d v="2014-06-01T00:00:00"/>
    <x v="1"/>
    <x v="1"/>
    <x v="0"/>
    <n v="804076"/>
    <n v="0"/>
  </r>
  <r>
    <n v="1082.9000000000001"/>
    <n v="7247.1"/>
    <n v="5950"/>
    <n v="1297.1000000000004"/>
    <d v="2014-06-01T00:00:00"/>
    <x v="1"/>
    <x v="1"/>
    <x v="0"/>
    <n v="7032.9"/>
    <n v="0"/>
  </r>
  <r>
    <n v="942.24"/>
    <n v="6305.76"/>
    <n v="1812"/>
    <n v="4493.76"/>
    <d v="2014-06-01T00:00:00"/>
    <x v="1"/>
    <x v="1"/>
    <x v="0"/>
    <n v="2754.24"/>
    <n v="0"/>
  </r>
  <r>
    <n v="1287"/>
    <n v="8613"/>
    <n v="6600"/>
    <n v="2013"/>
    <d v="2013-09-01T00:00:00"/>
    <x v="6"/>
    <x v="6"/>
    <x v="1"/>
    <n v="7887"/>
    <n v="0"/>
  </r>
  <r>
    <n v="639.6"/>
    <n v="4280.3999999999996"/>
    <n v="1230"/>
    <n v="3050.3999999999996"/>
    <d v="2014-10-01T00:00:00"/>
    <x v="7"/>
    <x v="7"/>
    <x v="0"/>
    <n v="1869.6"/>
    <n v="0"/>
  </r>
  <r>
    <n v="101595"/>
    <n v="679905"/>
    <n v="651250"/>
    <n v="28655"/>
    <d v="2013-11-01T00:00:00"/>
    <x v="9"/>
    <x v="9"/>
    <x v="1"/>
    <n v="752845"/>
    <n v="0"/>
  </r>
  <r>
    <n v="1580.28"/>
    <n v="10575.72"/>
    <n v="3039"/>
    <n v="7536.7199999999993"/>
    <d v="2014-12-01T00:00:00"/>
    <x v="2"/>
    <x v="2"/>
    <x v="0"/>
    <n v="4619.28"/>
    <n v="0"/>
  </r>
  <r>
    <n v="25723.75"/>
    <n v="172151.25"/>
    <n v="189960"/>
    <n v="-17808.75"/>
    <d v="2014-06-01T00:00:00"/>
    <x v="1"/>
    <x v="1"/>
    <x v="0"/>
    <n v="215683.75"/>
    <n v="0"/>
  </r>
  <r>
    <n v="3051.75"/>
    <n v="20423.25"/>
    <n v="15650"/>
    <n v="4773.25"/>
    <d v="2014-10-01T00:00:00"/>
    <x v="7"/>
    <x v="7"/>
    <x v="0"/>
    <n v="18701.75"/>
    <n v="0"/>
  </r>
  <r>
    <n v="26958.75"/>
    <n v="180416.25"/>
    <n v="199080"/>
    <n v="-18663.75"/>
    <d v="2014-01-01T00:00:00"/>
    <x v="0"/>
    <x v="0"/>
    <x v="0"/>
    <n v="226038.75"/>
    <n v="0"/>
  </r>
  <r>
    <n v="1082.9000000000001"/>
    <n v="7247.1"/>
    <n v="5950"/>
    <n v="1297.1000000000004"/>
    <d v="2014-06-01T00:00:00"/>
    <x v="1"/>
    <x v="1"/>
    <x v="0"/>
    <n v="7032.9"/>
    <n v="0"/>
  </r>
  <r>
    <n v="639.6"/>
    <n v="4280.3999999999996"/>
    <n v="1230"/>
    <n v="3050.3999999999996"/>
    <d v="2014-10-01T00:00:00"/>
    <x v="7"/>
    <x v="7"/>
    <x v="0"/>
    <n v="1869.6"/>
    <n v="0"/>
  </r>
  <r>
    <n v="2761.2"/>
    <n v="18478.8"/>
    <n v="5310"/>
    <n v="13168.8"/>
    <d v="2013-12-01T00:00:00"/>
    <x v="2"/>
    <x v="2"/>
    <x v="1"/>
    <n v="8071.2"/>
    <n v="0"/>
  </r>
  <r>
    <n v="7221.2"/>
    <n v="44358.8"/>
    <n v="25790"/>
    <n v="18568.800000000003"/>
    <d v="2014-04-01T00:00:00"/>
    <x v="10"/>
    <x v="10"/>
    <x v="0"/>
    <n v="33011.199999999997"/>
    <n v="0"/>
  </r>
  <r>
    <n v="4880.3999999999996"/>
    <n v="29979.599999999999"/>
    <n v="17430"/>
    <n v="12549.599999999999"/>
    <d v="2014-05-01T00:00:00"/>
    <x v="11"/>
    <x v="11"/>
    <x v="0"/>
    <n v="22310.400000000001"/>
    <n v="0"/>
  </r>
  <r>
    <n v="2936.08"/>
    <n v="18035.919999999998"/>
    <n v="14980"/>
    <n v="3055.9199999999983"/>
    <d v="2013-10-01T00:00:00"/>
    <x v="7"/>
    <x v="7"/>
    <x v="1"/>
    <n v="17916.080000000002"/>
    <n v="0"/>
  </r>
  <r>
    <n v="274.39999999999998"/>
    <n v="1685.6"/>
    <n v="1400"/>
    <n v="285.59999999999991"/>
    <d v="2014-12-01T00:00:00"/>
    <x v="2"/>
    <x v="2"/>
    <x v="0"/>
    <n v="1674.4"/>
    <n v="0"/>
  </r>
  <r>
    <n v="287.14"/>
    <n v="1763.8600000000001"/>
    <n v="1465"/>
    <n v="298.86000000000013"/>
    <d v="2014-02-01T00:00:00"/>
    <x v="8"/>
    <x v="8"/>
    <x v="0"/>
    <n v="1752.1399999999999"/>
    <n v="0"/>
  </r>
  <r>
    <n v="2936.08"/>
    <n v="18035.919999999998"/>
    <n v="14980"/>
    <n v="3055.9199999999983"/>
    <d v="2013-10-01T00:00:00"/>
    <x v="7"/>
    <x v="7"/>
    <x v="1"/>
    <n v="17916.080000000002"/>
    <n v="0"/>
  </r>
  <r>
    <n v="583.79999999999995"/>
    <n v="3586.2"/>
    <n v="2780"/>
    <n v="806.19999999999982"/>
    <d v="2014-02-01T00:00:00"/>
    <x v="8"/>
    <x v="8"/>
    <x v="0"/>
    <n v="3363.8"/>
    <n v="0"/>
  </r>
  <r>
    <n v="6798.4"/>
    <n v="41761.599999999999"/>
    <n v="24280"/>
    <n v="17481.599999999999"/>
    <d v="2014-03-01T00:00:00"/>
    <x v="3"/>
    <x v="3"/>
    <x v="0"/>
    <n v="31078.400000000001"/>
    <n v="0"/>
  </r>
  <r>
    <n v="3710.7"/>
    <n v="22794.3"/>
    <n v="17670"/>
    <n v="5124.2999999999993"/>
    <d v="2014-09-01T00:00:00"/>
    <x v="6"/>
    <x v="6"/>
    <x v="0"/>
    <n v="21380.7"/>
    <n v="0"/>
  </r>
  <r>
    <n v="2340.2399999999998"/>
    <n v="14375.76"/>
    <n v="4179"/>
    <n v="10196.76"/>
    <d v="2014-10-01T00:00:00"/>
    <x v="7"/>
    <x v="7"/>
    <x v="0"/>
    <n v="6519.24"/>
    <n v="0"/>
  </r>
  <r>
    <n v="274.39999999999998"/>
    <n v="1685.6"/>
    <n v="1400"/>
    <n v="285.59999999999991"/>
    <d v="2014-12-01T00:00:00"/>
    <x v="2"/>
    <x v="2"/>
    <x v="0"/>
    <n v="1674.4"/>
    <n v="0"/>
  </r>
  <r>
    <n v="2340.2399999999998"/>
    <n v="14375.76"/>
    <n v="4179"/>
    <n v="10196.76"/>
    <d v="2014-10-01T00:00:00"/>
    <x v="7"/>
    <x v="7"/>
    <x v="0"/>
    <n v="6519.24"/>
    <n v="0"/>
  </r>
  <r>
    <n v="3385.2"/>
    <n v="20794.8"/>
    <n v="6045"/>
    <n v="14749.8"/>
    <d v="2013-12-01T00:00:00"/>
    <x v="2"/>
    <x v="2"/>
    <x v="1"/>
    <n v="9430.2000000000007"/>
    <n v="0"/>
  </r>
  <r>
    <n v="33642"/>
    <n v="206658"/>
    <n v="200250"/>
    <n v="6408"/>
    <d v="2014-07-01T00:00:00"/>
    <x v="4"/>
    <x v="4"/>
    <x v="0"/>
    <n v="233892"/>
    <n v="0"/>
  </r>
  <r>
    <n v="17902.5"/>
    <n v="109972.5"/>
    <n v="122760"/>
    <n v="-12787.5"/>
    <d v="2013-09-01T00:00:00"/>
    <x v="6"/>
    <x v="6"/>
    <x v="1"/>
    <n v="140662.5"/>
    <n v="0"/>
  </r>
  <r>
    <n v="62832"/>
    <n v="385968"/>
    <n v="374000"/>
    <n v="11968"/>
    <d v="2014-10-01T00:00:00"/>
    <x v="7"/>
    <x v="7"/>
    <x v="0"/>
    <n v="436832"/>
    <n v="0"/>
  </r>
  <r>
    <n v="42420"/>
    <n v="260580"/>
    <n v="252500"/>
    <n v="8080"/>
    <d v="2014-10-01T00:00:00"/>
    <x v="7"/>
    <x v="7"/>
    <x v="0"/>
    <n v="294920"/>
    <n v="0"/>
  </r>
  <r>
    <n v="3177.3"/>
    <n v="19517.7"/>
    <n v="15130"/>
    <n v="4387.7000000000007"/>
    <d v="2014-11-01T00:00:00"/>
    <x v="9"/>
    <x v="9"/>
    <x v="0"/>
    <n v="18307.3"/>
    <n v="0"/>
  </r>
  <r>
    <n v="4830"/>
    <n v="29670"/>
    <n v="23000"/>
    <n v="6670"/>
    <d v="2014-12-01T00:00:00"/>
    <x v="2"/>
    <x v="2"/>
    <x v="0"/>
    <n v="27830"/>
    <n v="0"/>
  </r>
  <r>
    <n v="49367.5"/>
    <n v="303257.5"/>
    <n v="338520"/>
    <n v="-35262.5"/>
    <d v="2013-12-01T00:00:00"/>
    <x v="2"/>
    <x v="2"/>
    <x v="1"/>
    <n v="387887.5"/>
    <n v="0"/>
  </r>
  <r>
    <n v="109147.5"/>
    <n v="670477.5"/>
    <n v="579150"/>
    <n v="91327.5"/>
    <d v="2014-01-01T00:00:00"/>
    <x v="0"/>
    <x v="0"/>
    <x v="0"/>
    <n v="688297.5"/>
    <n v="0"/>
  </r>
  <r>
    <n v="58751"/>
    <n v="360899"/>
    <n v="311740"/>
    <n v="49159"/>
    <d v="2014-04-01T00:00:00"/>
    <x v="10"/>
    <x v="10"/>
    <x v="0"/>
    <n v="370491"/>
    <n v="0"/>
  </r>
  <r>
    <n v="9800"/>
    <n v="60200"/>
    <n v="52000"/>
    <n v="8200"/>
    <d v="2014-05-01T00:00:00"/>
    <x v="11"/>
    <x v="11"/>
    <x v="0"/>
    <n v="61800"/>
    <n v="0"/>
  </r>
  <r>
    <n v="380.24"/>
    <n v="2335.7600000000002"/>
    <n v="1940"/>
    <n v="395.76000000000022"/>
    <d v="2014-09-01T00:00:00"/>
    <x v="6"/>
    <x v="6"/>
    <x v="0"/>
    <n v="2320.2399999999998"/>
    <n v="0"/>
  </r>
  <r>
    <n v="1692.46"/>
    <n v="10396.540000000001"/>
    <n v="8635"/>
    <n v="1761.5400000000009"/>
    <d v="2013-10-01T00:00:00"/>
    <x v="7"/>
    <x v="7"/>
    <x v="1"/>
    <n v="10327.459999999999"/>
    <n v="0"/>
  </r>
  <r>
    <n v="4830"/>
    <n v="29670"/>
    <n v="23000"/>
    <n v="6670"/>
    <d v="2014-12-01T00:00:00"/>
    <x v="2"/>
    <x v="2"/>
    <x v="0"/>
    <n v="27830"/>
    <n v="0"/>
  </r>
  <r>
    <n v="728"/>
    <n v="4472"/>
    <n v="2600"/>
    <n v="1872"/>
    <d v="2014-02-01T00:00:00"/>
    <x v="8"/>
    <x v="8"/>
    <x v="0"/>
    <n v="3328"/>
    <n v="0"/>
  </r>
  <r>
    <n v="5187"/>
    <n v="31863"/>
    <n v="24700"/>
    <n v="7163"/>
    <d v="2013-09-01T00:00:00"/>
    <x v="6"/>
    <x v="6"/>
    <x v="1"/>
    <n v="29887"/>
    <n v="0"/>
  </r>
  <r>
    <n v="3660.3"/>
    <n v="22484.7"/>
    <n v="17430"/>
    <n v="5054.7000000000007"/>
    <d v="2013-10-01T00:00:00"/>
    <x v="7"/>
    <x v="7"/>
    <x v="1"/>
    <n v="21090.3"/>
    <n v="0"/>
  </r>
  <r>
    <n v="4895.5200000000004"/>
    <n v="30072.48"/>
    <n v="8742"/>
    <n v="21330.48"/>
    <d v="2014-10-01T00:00:00"/>
    <x v="7"/>
    <x v="7"/>
    <x v="0"/>
    <n v="13637.52"/>
    <n v="0"/>
  </r>
  <r>
    <n v="1696.38"/>
    <n v="10420.619999999999"/>
    <n v="8655"/>
    <n v="1765.619999999999"/>
    <d v="2014-10-01T00:00:00"/>
    <x v="7"/>
    <x v="7"/>
    <x v="0"/>
    <n v="10351.380000000001"/>
    <n v="0"/>
  </r>
  <r>
    <n v="34300"/>
    <n v="210700"/>
    <n v="182000"/>
    <n v="28700"/>
    <d v="2014-11-01T00:00:00"/>
    <x v="9"/>
    <x v="9"/>
    <x v="0"/>
    <n v="216300"/>
    <n v="0"/>
  </r>
  <r>
    <n v="3732.96"/>
    <n v="22931.040000000001"/>
    <n v="6666"/>
    <n v="16265.04"/>
    <d v="2013-11-01T00:00:00"/>
    <x v="9"/>
    <x v="9"/>
    <x v="1"/>
    <n v="10398.959999999999"/>
    <n v="0"/>
  </r>
  <r>
    <n v="57673"/>
    <n v="354277"/>
    <n v="306020"/>
    <n v="48257"/>
    <d v="2014-11-01T00:00:00"/>
    <x v="9"/>
    <x v="9"/>
    <x v="0"/>
    <n v="363693"/>
    <n v="0"/>
  </r>
  <r>
    <n v="94178"/>
    <n v="578522"/>
    <n v="499720"/>
    <n v="78802"/>
    <d v="2013-11-01T00:00:00"/>
    <x v="9"/>
    <x v="9"/>
    <x v="1"/>
    <n v="593898"/>
    <n v="0"/>
  </r>
  <r>
    <n v="27562.5"/>
    <n v="169312.5"/>
    <n v="189000"/>
    <n v="-19687.5"/>
    <d v="2014-02-01T00:00:00"/>
    <x v="8"/>
    <x v="8"/>
    <x v="0"/>
    <n v="216562.5"/>
    <n v="0"/>
  </r>
  <r>
    <n v="1696.8000000000002"/>
    <n v="10423.200000000001"/>
    <n v="6060"/>
    <n v="4363.2000000000007"/>
    <d v="2014-04-01T00:00:00"/>
    <x v="10"/>
    <x v="10"/>
    <x v="0"/>
    <n v="7756.8"/>
    <n v="0"/>
  </r>
  <r>
    <n v="103320"/>
    <n v="634680"/>
    <n v="615000"/>
    <n v="19680"/>
    <d v="2014-07-01T00:00:00"/>
    <x v="4"/>
    <x v="4"/>
    <x v="0"/>
    <n v="718320"/>
    <n v="0"/>
  </r>
  <r>
    <n v="11298"/>
    <n v="69402"/>
    <n v="67250"/>
    <n v="2152"/>
    <d v="2013-10-01T00:00:00"/>
    <x v="7"/>
    <x v="7"/>
    <x v="1"/>
    <n v="78548"/>
    <n v="0"/>
  </r>
  <r>
    <n v="106512"/>
    <n v="654288"/>
    <n v="634000"/>
    <n v="20288"/>
    <d v="2013-11-01T00:00:00"/>
    <x v="9"/>
    <x v="9"/>
    <x v="1"/>
    <n v="740512"/>
    <n v="0"/>
  </r>
  <r>
    <n v="2844.94"/>
    <n v="17476.060000000001"/>
    <n v="14515"/>
    <n v="2961.0600000000013"/>
    <d v="2014-03-01T00:00:00"/>
    <x v="3"/>
    <x v="3"/>
    <x v="0"/>
    <n v="17359.939999999999"/>
    <n v="0"/>
  </r>
  <r>
    <n v="106722"/>
    <n v="655578"/>
    <n v="635250"/>
    <n v="20328"/>
    <d v="2014-08-01T00:00:00"/>
    <x v="5"/>
    <x v="5"/>
    <x v="0"/>
    <n v="741972"/>
    <n v="0"/>
  </r>
  <r>
    <n v="11298"/>
    <n v="69402"/>
    <n v="67250"/>
    <n v="2152"/>
    <d v="2013-10-01T00:00:00"/>
    <x v="7"/>
    <x v="7"/>
    <x v="1"/>
    <n v="78548"/>
    <n v="0"/>
  </r>
  <r>
    <n v="62832"/>
    <n v="385968"/>
    <n v="374000"/>
    <n v="11968"/>
    <d v="2014-10-01T00:00:00"/>
    <x v="7"/>
    <x v="7"/>
    <x v="0"/>
    <n v="436832"/>
    <n v="0"/>
  </r>
  <r>
    <n v="42420"/>
    <n v="260580"/>
    <n v="252500"/>
    <n v="8080"/>
    <d v="2014-10-01T00:00:00"/>
    <x v="7"/>
    <x v="7"/>
    <x v="0"/>
    <n v="294920"/>
    <n v="0"/>
  </r>
  <r>
    <n v="62769"/>
    <n v="385581"/>
    <n v="333060"/>
    <n v="52521"/>
    <d v="2013-12-01T00:00:00"/>
    <x v="2"/>
    <x v="2"/>
    <x v="1"/>
    <n v="395829"/>
    <n v="0"/>
  </r>
  <r>
    <n v="37296"/>
    <n v="229104"/>
    <n v="222000"/>
    <n v="7104"/>
    <d v="2014-03-01T00:00:00"/>
    <x v="3"/>
    <x v="3"/>
    <x v="0"/>
    <n v="259296"/>
    <n v="0"/>
  </r>
  <r>
    <n v="49770"/>
    <n v="305730"/>
    <n v="341280"/>
    <n v="-35550"/>
    <d v="2014-05-01T00:00:00"/>
    <x v="11"/>
    <x v="11"/>
    <x v="0"/>
    <n v="391050"/>
    <n v="0"/>
  </r>
  <r>
    <n v="4158"/>
    <n v="25542"/>
    <n v="7425"/>
    <n v="18117"/>
    <d v="2014-08-01T00:00:00"/>
    <x v="5"/>
    <x v="5"/>
    <x v="0"/>
    <n v="11583"/>
    <n v="0"/>
  </r>
  <r>
    <n v="3660.3"/>
    <n v="22484.7"/>
    <n v="17430"/>
    <n v="5054.7000000000007"/>
    <d v="2013-10-01T00:00:00"/>
    <x v="7"/>
    <x v="7"/>
    <x v="1"/>
    <n v="21090.3"/>
    <n v="0"/>
  </r>
  <r>
    <n v="4895.5200000000004"/>
    <n v="30072.48"/>
    <n v="8742"/>
    <n v="21330.48"/>
    <d v="2014-10-01T00:00:00"/>
    <x v="7"/>
    <x v="7"/>
    <x v="0"/>
    <n v="13637.52"/>
    <n v="0"/>
  </r>
  <r>
    <n v="1696.38"/>
    <n v="10420.619999999999"/>
    <n v="8655"/>
    <n v="1765.619999999999"/>
    <d v="2014-10-01T00:00:00"/>
    <x v="7"/>
    <x v="7"/>
    <x v="0"/>
    <n v="10351.380000000001"/>
    <n v="0"/>
  </r>
  <r>
    <n v="1692.46"/>
    <n v="10396.540000000001"/>
    <n v="8635"/>
    <n v="1761.5400000000009"/>
    <d v="2013-10-01T00:00:00"/>
    <x v="7"/>
    <x v="7"/>
    <x v="1"/>
    <n v="10327.459999999999"/>
    <n v="0"/>
  </r>
  <r>
    <n v="3927"/>
    <n v="24123"/>
    <n v="18700"/>
    <n v="5423"/>
    <d v="2013-11-01T00:00:00"/>
    <x v="9"/>
    <x v="9"/>
    <x v="1"/>
    <n v="22627"/>
    <n v="0"/>
  </r>
  <r>
    <n v="22012.5"/>
    <n v="124737.5"/>
    <n v="140880"/>
    <n v="-16142.5"/>
    <d v="2014-08-01T00:00:00"/>
    <x v="5"/>
    <x v="5"/>
    <x v="0"/>
    <n v="162892.5"/>
    <n v="0"/>
  </r>
  <r>
    <n v="51881.25"/>
    <n v="293993.75"/>
    <n v="332040"/>
    <n v="-38046.25"/>
    <d v="2014-08-01T00:00:00"/>
    <x v="5"/>
    <x v="5"/>
    <x v="0"/>
    <n v="383921.25"/>
    <n v="0"/>
  </r>
  <r>
    <n v="20343.75"/>
    <n v="115281.25"/>
    <n v="130200"/>
    <n v="-14918.75"/>
    <d v="2014-10-01T00:00:00"/>
    <x v="7"/>
    <x v="7"/>
    <x v="0"/>
    <n v="150543.75"/>
    <n v="0"/>
  </r>
  <r>
    <n v="24570"/>
    <n v="139230"/>
    <n v="136500"/>
    <n v="2730"/>
    <d v="2014-10-01T00:00:00"/>
    <x v="7"/>
    <x v="7"/>
    <x v="0"/>
    <n v="161070"/>
    <n v="0"/>
  </r>
  <r>
    <n v="3474"/>
    <n v="19686"/>
    <n v="11580"/>
    <n v="8106"/>
    <d v="2014-03-01T00:00:00"/>
    <x v="3"/>
    <x v="3"/>
    <x v="0"/>
    <n v="15054"/>
    <n v="0"/>
  </r>
  <r>
    <n v="3631.5"/>
    <n v="20578.5"/>
    <n v="16140"/>
    <n v="4438.5"/>
    <d v="2014-04-01T00:00:00"/>
    <x v="10"/>
    <x v="10"/>
    <x v="0"/>
    <n v="19771.5"/>
    <n v="0"/>
  </r>
  <r>
    <n v="2661.75"/>
    <n v="15083.25"/>
    <n v="12675"/>
    <n v="2408.25"/>
    <d v="2014-04-01T00:00:00"/>
    <x v="10"/>
    <x v="10"/>
    <x v="0"/>
    <n v="15336.75"/>
    <n v="0"/>
  </r>
  <r>
    <n v="149677.5"/>
    <n v="848172.5"/>
    <n v="741260"/>
    <n v="106912.5"/>
    <d v="2014-05-01T00:00:00"/>
    <x v="11"/>
    <x v="11"/>
    <x v="0"/>
    <n v="890937.5"/>
    <n v="0"/>
  </r>
  <r>
    <n v="5757.75"/>
    <n v="32627.25"/>
    <n v="25590"/>
    <n v="7037.25"/>
    <d v="2014-08-01T00:00:00"/>
    <x v="5"/>
    <x v="5"/>
    <x v="0"/>
    <n v="31347.75"/>
    <n v="0"/>
  </r>
  <r>
    <n v="801"/>
    <n v="4539"/>
    <n v="2670"/>
    <n v="1869"/>
    <d v="2013-10-01T00:00:00"/>
    <x v="7"/>
    <x v="7"/>
    <x v="1"/>
    <n v="3471"/>
    <n v="0"/>
  </r>
  <r>
    <n v="20343.75"/>
    <n v="115281.25"/>
    <n v="130200"/>
    <n v="-14918.75"/>
    <d v="2014-10-01T00:00:00"/>
    <x v="7"/>
    <x v="7"/>
    <x v="0"/>
    <n v="150543.75"/>
    <n v="0"/>
  </r>
  <r>
    <n v="2643.75"/>
    <n v="14981.25"/>
    <n v="11750"/>
    <n v="3231.25"/>
    <d v="2014-10-01T00:00:00"/>
    <x v="7"/>
    <x v="7"/>
    <x v="0"/>
    <n v="14393.75"/>
    <n v="0"/>
  </r>
  <r>
    <n v="105367.5"/>
    <n v="597082.5"/>
    <n v="521820"/>
    <n v="75262.5"/>
    <d v="2013-11-01T00:00:00"/>
    <x v="9"/>
    <x v="9"/>
    <x v="1"/>
    <n v="627187.5"/>
    <n v="0"/>
  </r>
  <r>
    <n v="112927.5"/>
    <n v="639922.5"/>
    <n v="559260"/>
    <n v="80662.5"/>
    <d v="2013-11-01T00:00:00"/>
    <x v="9"/>
    <x v="9"/>
    <x v="1"/>
    <n v="672187.5"/>
    <n v="0"/>
  </r>
  <r>
    <n v="1645.2"/>
    <n v="9322.7999999999993"/>
    <n v="2742"/>
    <n v="6580.7999999999993"/>
    <d v="2014-12-01T00:00:00"/>
    <x v="2"/>
    <x v="2"/>
    <x v="0"/>
    <n v="4387.2"/>
    <n v="0"/>
  </r>
  <r>
    <n v="879"/>
    <n v="4981"/>
    <n v="2930"/>
    <n v="2051"/>
    <d v="2014-12-01T00:00:00"/>
    <x v="2"/>
    <x v="2"/>
    <x v="0"/>
    <n v="3809"/>
    <n v="0"/>
  </r>
  <r>
    <n v="900"/>
    <n v="5100"/>
    <n v="1500"/>
    <n v="3600"/>
    <d v="2014-03-01T00:00:00"/>
    <x v="3"/>
    <x v="3"/>
    <x v="0"/>
    <n v="2400"/>
    <n v="0"/>
  </r>
  <r>
    <n v="6358.5"/>
    <n v="36031.5"/>
    <n v="28260"/>
    <n v="7771.5"/>
    <d v="2014-05-01T00:00:00"/>
    <x v="11"/>
    <x v="11"/>
    <x v="0"/>
    <n v="34618.5"/>
    <n v="0"/>
  </r>
  <r>
    <n v="12431.25"/>
    <n v="70443.75"/>
    <n v="79560"/>
    <n v="-9116.25"/>
    <d v="2014-09-01T00:00:00"/>
    <x v="6"/>
    <x v="6"/>
    <x v="0"/>
    <n v="91991.25"/>
    <n v="0"/>
  </r>
  <r>
    <n v="115830"/>
    <n v="656370"/>
    <n v="643500"/>
    <n v="12870"/>
    <d v="2013-11-01T00:00:00"/>
    <x v="9"/>
    <x v="9"/>
    <x v="1"/>
    <n v="759330"/>
    <n v="0"/>
  </r>
  <r>
    <n v="45712.5"/>
    <n v="259037.5"/>
    <n v="292560"/>
    <n v="-33522.5"/>
    <d v="2013-12-01T00:00:00"/>
    <x v="2"/>
    <x v="2"/>
    <x v="1"/>
    <n v="338272.5"/>
    <n v="0"/>
  </r>
  <r>
    <n v="1645.2"/>
    <n v="9322.7999999999993"/>
    <n v="2742"/>
    <n v="6580.7999999999993"/>
    <d v="2014-12-01T00:00:00"/>
    <x v="2"/>
    <x v="2"/>
    <x v="0"/>
    <n v="4387.2"/>
    <n v="0"/>
  </r>
  <r>
    <n v="2596.5"/>
    <n v="14713.5"/>
    <n v="8655"/>
    <n v="6058.5"/>
    <d v="2014-07-01T00:00:00"/>
    <x v="4"/>
    <x v="4"/>
    <x v="0"/>
    <n v="11251.5"/>
    <n v="0"/>
  </r>
  <r>
    <n v="1107"/>
    <n v="6273"/>
    <n v="4920"/>
    <n v="1353"/>
    <d v="2014-07-01T00:00:00"/>
    <x v="4"/>
    <x v="4"/>
    <x v="0"/>
    <n v="6027"/>
    <n v="0"/>
  </r>
  <r>
    <n v="801"/>
    <n v="4539"/>
    <n v="2670"/>
    <n v="1869"/>
    <d v="2013-10-01T00:00:00"/>
    <x v="7"/>
    <x v="7"/>
    <x v="1"/>
    <n v="3471"/>
    <n v="0"/>
  </r>
  <r>
    <n v="2643.75"/>
    <n v="14981.25"/>
    <n v="11750"/>
    <n v="3231.25"/>
    <d v="2014-10-01T00:00:00"/>
    <x v="7"/>
    <x v="7"/>
    <x v="0"/>
    <n v="14393.75"/>
    <n v="0"/>
  </r>
  <r>
    <n v="55387.5"/>
    <n v="313862.5"/>
    <n v="354480"/>
    <n v="-40617.5"/>
    <d v="2013-11-01T00:00:00"/>
    <x v="9"/>
    <x v="9"/>
    <x v="1"/>
    <n v="409867.5"/>
    <n v="0"/>
  </r>
  <r>
    <n v="10350"/>
    <n v="58650"/>
    <n v="66240"/>
    <n v="-7590"/>
    <d v="2014-11-01T00:00:00"/>
    <x v="9"/>
    <x v="9"/>
    <x v="0"/>
    <n v="76590"/>
    <n v="0"/>
  </r>
  <r>
    <n v="879"/>
    <n v="4981"/>
    <n v="2930"/>
    <n v="2051"/>
    <d v="2014-12-01T00:00:00"/>
    <x v="2"/>
    <x v="2"/>
    <x v="0"/>
    <n v="3809"/>
    <n v="0"/>
  </r>
  <r>
    <n v="111375"/>
    <n v="631125"/>
    <n v="618750"/>
    <n v="12375"/>
    <d v="2014-03-01T00:00:00"/>
    <x v="3"/>
    <x v="3"/>
    <x v="0"/>
    <n v="730125"/>
    <n v="0"/>
  </r>
  <r>
    <n v="24570"/>
    <n v="139230"/>
    <n v="136500"/>
    <n v="2730"/>
    <d v="2014-10-01T00:00:00"/>
    <x v="7"/>
    <x v="7"/>
    <x v="0"/>
    <n v="161070"/>
    <n v="0"/>
  </r>
  <r>
    <n v="1436.4"/>
    <n v="8139.6"/>
    <n v="6840"/>
    <n v="1299.6000000000004"/>
    <d v="2014-02-01T00:00:00"/>
    <x v="8"/>
    <x v="8"/>
    <x v="0"/>
    <n v="8276.4"/>
    <n v="0"/>
  </r>
  <r>
    <n v="759.15000000000009"/>
    <n v="4301.8500000000004"/>
    <n v="3615"/>
    <n v="686.85000000000014"/>
    <d v="2014-04-01T00:00:00"/>
    <x v="10"/>
    <x v="10"/>
    <x v="0"/>
    <n v="4374.1499999999996"/>
    <n v="0"/>
  </r>
  <r>
    <n v="3250.8"/>
    <n v="18421.2"/>
    <n v="5418"/>
    <n v="13003.2"/>
    <d v="2014-05-01T00:00:00"/>
    <x v="11"/>
    <x v="11"/>
    <x v="0"/>
    <n v="8668.799999999999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C1438-3737-44FF-A16F-27AF100CEE4D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4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ales_Anomaly" fld="1" subtotal="count" baseField="0" baseItem="0"/>
    <dataField name="Count of Expense_Anomaly" fld="2" subtotal="count" baseField="0" baseItem="0"/>
    <dataField name="Count of Profit_Anomaly" fld="3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aidy.io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EBC00-95FE-4911-8211-D641B6EA446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:E20" firstHeaderRow="0" firstDataRow="1" firstDataCol="2"/>
  <pivotFields count="10"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</pivotFields>
  <rowFields count="2">
    <field x="7"/>
    <field x="5"/>
  </rowFields>
  <rowItems count="19">
    <i>
      <x/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1" baseField="5" baseItem="8" numFmtId="3"/>
    <dataField name="Sum of Calculated_Profit" fld="9" baseField="5" baseItem="8" numFmtId="3"/>
    <dataField name="Sum of Total_Expenses" fld="8" baseField="5" baseItem="8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393E9F-2853-4DCC-81B5-E98269201973}" autoFormatId="16" applyNumberFormats="0" applyBorderFormats="0" applyFontFormats="0" applyPatternFormats="0" applyAlignmentFormats="0" applyWidthHeightFormats="0">
  <queryTableRefresh nextId="17" unboundColumnsRight="6">
    <queryTableFields count="16">
      <queryTableField id="1" name="Discounts" tableColumnId="1"/>
      <queryTableField id="2" name=" Sales" tableColumnId="2"/>
      <queryTableField id="3" name="COGS" tableColumnId="3"/>
      <queryTableField id="4" name="Profit" tableColumnId="4"/>
      <queryTableField id="5" name="Date" tableColumnId="5"/>
      <queryTableField id="6" name="Month Number" tableColumnId="6"/>
      <queryTableField id="7" name="Month Name" tableColumnId="7"/>
      <queryTableField id="8" name="Year" tableColumnId="8"/>
      <queryTableField id="9" name="Total_Expenses" tableColumnId="9"/>
      <queryTableField id="10" name="Calculated_Profit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E6273-0B7A-4A18-9B1D-464705F60FC7}" name="financials" displayName="financials" ref="A1:P701" tableType="queryTable" totalsRowShown="0">
  <autoFilter ref="A1:P701" xr:uid="{531E6273-0B7A-4A18-9B1D-464705F60FC7}"/>
  <tableColumns count="16">
    <tableColumn id="1" xr3:uid="{99556261-9BFF-4869-9444-D6916EB0E1D5}" uniqueName="1" name="Discounts" queryTableFieldId="1"/>
    <tableColumn id="2" xr3:uid="{742D3C84-8034-4F4E-AACA-6B71FDFA6E65}" uniqueName="2" name=" Sales" queryTableFieldId="2"/>
    <tableColumn id="3" xr3:uid="{18DE7C74-AB28-46B2-8724-3F9D08E0B172}" uniqueName="3" name="COGS" queryTableFieldId="3"/>
    <tableColumn id="4" xr3:uid="{38BF430C-46F3-434B-A067-92F63B8C4438}" uniqueName="4" name="Profit" queryTableFieldId="4"/>
    <tableColumn id="5" xr3:uid="{EE3DF009-709A-46FB-A6DA-36EB4A9F807B}" uniqueName="5" name="Date" queryTableFieldId="5" dataDxfId="8"/>
    <tableColumn id="6" xr3:uid="{C79755FF-D715-431D-B456-15D75AA24F7F}" uniqueName="6" name="Month Number" queryTableFieldId="6"/>
    <tableColumn id="7" xr3:uid="{639ED971-6C37-497A-8636-1F51140D1235}" uniqueName="7" name="Month Name" queryTableFieldId="7" dataDxfId="7"/>
    <tableColumn id="8" xr3:uid="{4B40A150-CCE9-4758-9B32-337BF6426B0C}" uniqueName="8" name="Year" queryTableFieldId="8"/>
    <tableColumn id="9" xr3:uid="{1F8F830F-A33E-44E1-BB7C-FDC0AB9CA876}" uniqueName="9" name="Total_Expenses" queryTableFieldId="9"/>
    <tableColumn id="10" xr3:uid="{CF8FB1DD-1149-4ECE-A960-4945F0723223}" uniqueName="10" name="Calculated_Profit" queryTableFieldId="10"/>
    <tableColumn id="11" xr3:uid="{5ED4E7D9-BBA4-4533-8C67-E01E3674B53F}" uniqueName="11" name="Sales_Zscore" queryTableFieldId="11" dataDxfId="6">
      <calculatedColumnFormula>(B2 - $U$2) / $U$3</calculatedColumnFormula>
    </tableColumn>
    <tableColumn id="12" xr3:uid="{12FB3F5A-193F-4B5D-A6F6-EDE27D42FEDB}" uniqueName="12" name="Sales_Anomaly" queryTableFieldId="12" dataDxfId="5">
      <calculatedColumnFormula>IF(ABS(K2) &gt; 3, "Anomaly", "Normal")</calculatedColumnFormula>
    </tableColumn>
    <tableColumn id="13" xr3:uid="{BF074CBB-E694-4645-B6ED-80DED87ACE56}" uniqueName="13" name="Expense_ZScore" queryTableFieldId="13" dataDxfId="3">
      <calculatedColumnFormula>IFERROR((I2-$S$6)/$S$7,0)</calculatedColumnFormula>
    </tableColumn>
    <tableColumn id="14" xr3:uid="{FECEE4D7-64A6-410E-94FE-D3BB09C78B1D}" uniqueName="14" name="Expense_Anomaly" queryTableFieldId="14" dataDxfId="4">
      <calculatedColumnFormula>IF(ABS(M2) &gt; 3, "Anomaly", "Normal")</calculatedColumnFormula>
    </tableColumn>
    <tableColumn id="15" xr3:uid="{29314384-A545-4E22-B52A-EF1ACA8E3917}" uniqueName="15" name="Profit_ZScore" queryTableFieldId="15" dataDxfId="2">
      <calculatedColumnFormula>IFERROR((J2-$Q$2)/$Q$3,0)</calculatedColumnFormula>
    </tableColumn>
    <tableColumn id="16" xr3:uid="{12EEF9E0-C572-4A18-AA31-822AF6F6E8BE}" uniqueName="16" name=" Profit_Anomaly" queryTableFieldId="16" dataDxfId="0">
      <calculatedColumnFormula>IF(ABS(O2)&gt;3,"Anomaly","Normal")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DE73-DA09-4A0C-8700-04452E7FFC05}">
  <dimension ref="A3:D16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21.36328125" bestFit="1" customWidth="1"/>
    <col min="3" max="3" width="24.08984375" bestFit="1" customWidth="1"/>
    <col min="4" max="4" width="21.90625" bestFit="1" customWidth="1"/>
  </cols>
  <sheetData>
    <row r="3" spans="1:4" x14ac:dyDescent="0.35">
      <c r="A3" s="5" t="s">
        <v>25</v>
      </c>
      <c r="B3" t="s">
        <v>35</v>
      </c>
      <c r="C3" t="s">
        <v>36</v>
      </c>
      <c r="D3" t="s">
        <v>37</v>
      </c>
    </row>
    <row r="4" spans="1:4" x14ac:dyDescent="0.35">
      <c r="A4" s="4" t="s">
        <v>20</v>
      </c>
      <c r="B4" s="2">
        <v>35</v>
      </c>
      <c r="C4" s="2">
        <v>35</v>
      </c>
      <c r="D4" s="2">
        <v>35</v>
      </c>
    </row>
    <row r="5" spans="1:4" x14ac:dyDescent="0.35">
      <c r="A5" s="4" t="s">
        <v>15</v>
      </c>
      <c r="B5" s="2">
        <v>35</v>
      </c>
      <c r="C5" s="2">
        <v>35</v>
      </c>
      <c r="D5" s="2">
        <v>35</v>
      </c>
    </row>
    <row r="6" spans="1:4" x14ac:dyDescent="0.35">
      <c r="A6" s="4" t="s">
        <v>12</v>
      </c>
      <c r="B6" s="2">
        <v>105</v>
      </c>
      <c r="C6" s="2">
        <v>105</v>
      </c>
      <c r="D6" s="2">
        <v>105</v>
      </c>
    </row>
    <row r="7" spans="1:4" x14ac:dyDescent="0.35">
      <c r="A7" s="4" t="s">
        <v>18</v>
      </c>
      <c r="B7" s="2">
        <v>35</v>
      </c>
      <c r="C7" s="2">
        <v>35</v>
      </c>
      <c r="D7" s="2">
        <v>35</v>
      </c>
    </row>
    <row r="8" spans="1:4" x14ac:dyDescent="0.35">
      <c r="A8" s="4" t="s">
        <v>10</v>
      </c>
      <c r="B8" s="2">
        <v>35</v>
      </c>
      <c r="C8" s="2">
        <v>35</v>
      </c>
      <c r="D8" s="2">
        <v>35</v>
      </c>
    </row>
    <row r="9" spans="1:4" x14ac:dyDescent="0.35">
      <c r="A9" s="4" t="s">
        <v>14</v>
      </c>
      <c r="B9" s="2">
        <v>35</v>
      </c>
      <c r="C9" s="2">
        <v>35</v>
      </c>
      <c r="D9" s="2">
        <v>35</v>
      </c>
    </row>
    <row r="10" spans="1:4" x14ac:dyDescent="0.35">
      <c r="A10" s="4" t="s">
        <v>11</v>
      </c>
      <c r="B10" s="2">
        <v>70</v>
      </c>
      <c r="C10" s="2">
        <v>70</v>
      </c>
      <c r="D10" s="2">
        <v>70</v>
      </c>
    </row>
    <row r="11" spans="1:4" x14ac:dyDescent="0.35">
      <c r="A11" s="4" t="s">
        <v>13</v>
      </c>
      <c r="B11" s="2">
        <v>35</v>
      </c>
      <c r="C11" s="2">
        <v>35</v>
      </c>
      <c r="D11" s="2">
        <v>35</v>
      </c>
    </row>
    <row r="12" spans="1:4" x14ac:dyDescent="0.35">
      <c r="A12" s="4" t="s">
        <v>21</v>
      </c>
      <c r="B12" s="2">
        <v>35</v>
      </c>
      <c r="C12" s="2">
        <v>35</v>
      </c>
      <c r="D12" s="2">
        <v>35</v>
      </c>
    </row>
    <row r="13" spans="1:4" x14ac:dyDescent="0.35">
      <c r="A13" s="4" t="s">
        <v>19</v>
      </c>
      <c r="B13" s="2">
        <v>70</v>
      </c>
      <c r="C13" s="2">
        <v>70</v>
      </c>
      <c r="D13" s="2">
        <v>70</v>
      </c>
    </row>
    <row r="14" spans="1:4" x14ac:dyDescent="0.35">
      <c r="A14" s="4" t="s">
        <v>17</v>
      </c>
      <c r="B14" s="2">
        <v>140</v>
      </c>
      <c r="C14" s="2">
        <v>140</v>
      </c>
      <c r="D14" s="2">
        <v>140</v>
      </c>
    </row>
    <row r="15" spans="1:4" x14ac:dyDescent="0.35">
      <c r="A15" s="4" t="s">
        <v>16</v>
      </c>
      <c r="B15" s="2">
        <v>70</v>
      </c>
      <c r="C15" s="2">
        <v>70</v>
      </c>
      <c r="D15" s="2">
        <v>70</v>
      </c>
    </row>
    <row r="16" spans="1:4" x14ac:dyDescent="0.35">
      <c r="A16" s="4" t="s">
        <v>24</v>
      </c>
      <c r="B16" s="2">
        <v>700</v>
      </c>
      <c r="C16" s="2">
        <v>700</v>
      </c>
      <c r="D16" s="2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0DC-70B0-4A9A-B2F5-55AAF8AE8F4D}">
  <dimension ref="A1:U701"/>
  <sheetViews>
    <sheetView tabSelected="1" topLeftCell="A2" workbookViewId="0">
      <selection activeCell="N631" sqref="N631"/>
    </sheetView>
  </sheetViews>
  <sheetFormatPr defaultRowHeight="14.5" x14ac:dyDescent="0.35"/>
  <cols>
    <col min="1" max="1" width="11.26953125" bestFit="1" customWidth="1"/>
    <col min="2" max="2" width="10.81640625" bestFit="1" customWidth="1"/>
    <col min="3" max="3" width="7.81640625" bestFit="1" customWidth="1"/>
    <col min="4" max="4" width="9.81640625" bestFit="1" customWidth="1"/>
    <col min="5" max="5" width="10.08984375" bestFit="1" customWidth="1"/>
    <col min="6" max="6" width="16.1796875" bestFit="1" customWidth="1"/>
    <col min="7" max="7" width="14.1796875" bestFit="1" customWidth="1"/>
    <col min="8" max="8" width="6.81640625" bestFit="1" customWidth="1"/>
    <col min="9" max="9" width="16.1796875" bestFit="1" customWidth="1"/>
    <col min="10" max="10" width="17.6328125" bestFit="1" customWidth="1"/>
    <col min="11" max="11" width="17.6328125" customWidth="1"/>
    <col min="12" max="12" width="18.36328125" customWidth="1"/>
    <col min="13" max="16" width="27.54296875" customWidth="1"/>
    <col min="21" max="21" width="16.3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s="7" t="s">
        <v>34</v>
      </c>
    </row>
    <row r="2" spans="1:21" x14ac:dyDescent="0.35">
      <c r="A2">
        <v>0</v>
      </c>
      <c r="B2">
        <v>32370</v>
      </c>
      <c r="C2">
        <v>16185</v>
      </c>
      <c r="D2">
        <v>16185</v>
      </c>
      <c r="E2" s="1">
        <v>41640</v>
      </c>
      <c r="F2">
        <v>1</v>
      </c>
      <c r="G2" s="2" t="s">
        <v>10</v>
      </c>
      <c r="H2">
        <v>2014</v>
      </c>
      <c r="I2">
        <v>16185</v>
      </c>
      <c r="J2">
        <v>0</v>
      </c>
      <c r="K2">
        <f>(B2 - $U$2) / $U$3</f>
        <v>-0.58015175182792178</v>
      </c>
      <c r="L2" t="str">
        <f t="shared" ref="L2:L65" si="0">IF(ABS(K2) &gt; 3, "Anomaly", "Normal")</f>
        <v>Normal</v>
      </c>
      <c r="M2">
        <f>IFERROR((I2-$S$6)/$S$7,0)</f>
        <v>0</v>
      </c>
      <c r="N2" s="2" t="str">
        <f t="shared" ref="N2:N65" si="1">IF(ABS(M2) &gt; 3, "Anomaly", "Normal")</f>
        <v>Normal</v>
      </c>
      <c r="O2" s="2">
        <f t="shared" ref="O2:O65" si="2">IFERROR((J2-$Q$2)/$Q$3,0)</f>
        <v>0</v>
      </c>
      <c r="P2" s="2" t="str">
        <f t="shared" ref="P2:P65" si="3">IF(ABS(O2)&gt;3,"Anomaly","Normal")</f>
        <v>Normal</v>
      </c>
      <c r="U2">
        <f>AVERAGE(financials[[ Sales]])</f>
        <v>169609.07179999989</v>
      </c>
    </row>
    <row r="3" spans="1:21" x14ac:dyDescent="0.35">
      <c r="A3">
        <v>0</v>
      </c>
      <c r="B3">
        <v>26420</v>
      </c>
      <c r="C3">
        <v>13210</v>
      </c>
      <c r="D3">
        <v>13210</v>
      </c>
      <c r="E3" s="1">
        <v>41640</v>
      </c>
      <c r="F3">
        <v>1</v>
      </c>
      <c r="G3" s="2" t="s">
        <v>10</v>
      </c>
      <c r="H3">
        <v>2014</v>
      </c>
      <c r="I3">
        <v>13210</v>
      </c>
      <c r="J3">
        <v>0</v>
      </c>
      <c r="K3">
        <f>(B3 - $U$2) / $U$3</f>
        <v>-0.60530423120643739</v>
      </c>
      <c r="L3" t="str">
        <f t="shared" si="0"/>
        <v>Normal</v>
      </c>
      <c r="M3">
        <f>IFERROR((I3-$S$6)/$S$7,0)</f>
        <v>0</v>
      </c>
      <c r="N3" s="2" t="str">
        <f t="shared" si="1"/>
        <v>Normal</v>
      </c>
      <c r="O3" s="2">
        <f t="shared" si="2"/>
        <v>0</v>
      </c>
      <c r="P3" s="2" t="str">
        <f t="shared" si="3"/>
        <v>Normal</v>
      </c>
      <c r="U3" s="2">
        <f>_xlfn.STDEV.P((financials[[#All],[ Sales]]))</f>
        <v>236557.19622942075</v>
      </c>
    </row>
    <row r="4" spans="1:21" x14ac:dyDescent="0.35">
      <c r="A4">
        <v>0</v>
      </c>
      <c r="B4">
        <v>32670</v>
      </c>
      <c r="C4">
        <v>21780</v>
      </c>
      <c r="D4">
        <v>10890</v>
      </c>
      <c r="E4" s="1">
        <v>41791</v>
      </c>
      <c r="F4">
        <v>6</v>
      </c>
      <c r="G4" s="2" t="s">
        <v>11</v>
      </c>
      <c r="H4">
        <v>2014</v>
      </c>
      <c r="I4">
        <v>21780</v>
      </c>
      <c r="J4">
        <v>0</v>
      </c>
      <c r="K4">
        <f>(B4 - $U$2) / $U$3</f>
        <v>-0.57888355959034954</v>
      </c>
      <c r="L4" t="str">
        <f t="shared" si="0"/>
        <v>Normal</v>
      </c>
      <c r="M4">
        <f>IFERROR((I4-$S$6)/$S$7,0)</f>
        <v>0</v>
      </c>
      <c r="N4" s="2" t="str">
        <f t="shared" si="1"/>
        <v>Normal</v>
      </c>
      <c r="O4" s="2">
        <f t="shared" si="2"/>
        <v>0</v>
      </c>
      <c r="P4" s="2" t="str">
        <f t="shared" si="3"/>
        <v>Normal</v>
      </c>
    </row>
    <row r="5" spans="1:21" x14ac:dyDescent="0.35">
      <c r="A5">
        <v>0</v>
      </c>
      <c r="B5">
        <v>13320</v>
      </c>
      <c r="C5">
        <v>8880</v>
      </c>
      <c r="D5">
        <v>4440</v>
      </c>
      <c r="E5" s="1">
        <v>41791</v>
      </c>
      <c r="F5">
        <v>6</v>
      </c>
      <c r="G5" s="2" t="s">
        <v>11</v>
      </c>
      <c r="H5">
        <v>2014</v>
      </c>
      <c r="I5">
        <v>8880</v>
      </c>
      <c r="J5">
        <v>0</v>
      </c>
      <c r="K5">
        <f>(B5 - $U$2) / $U$3</f>
        <v>-0.66068195891375781</v>
      </c>
      <c r="L5" t="str">
        <f t="shared" si="0"/>
        <v>Normal</v>
      </c>
      <c r="M5">
        <f>IFERROR((I5-$S$6)/$S$7,0)</f>
        <v>0</v>
      </c>
      <c r="N5" s="2" t="str">
        <f t="shared" si="1"/>
        <v>Normal</v>
      </c>
      <c r="O5" s="2">
        <f t="shared" si="2"/>
        <v>0</v>
      </c>
      <c r="P5" s="2" t="str">
        <f t="shared" si="3"/>
        <v>Normal</v>
      </c>
      <c r="U5" s="3"/>
    </row>
    <row r="6" spans="1:21" x14ac:dyDescent="0.35">
      <c r="A6">
        <v>0</v>
      </c>
      <c r="B6">
        <v>37050</v>
      </c>
      <c r="C6">
        <v>24700</v>
      </c>
      <c r="D6">
        <v>12350</v>
      </c>
      <c r="E6" s="1">
        <v>41791</v>
      </c>
      <c r="F6">
        <v>6</v>
      </c>
      <c r="G6" s="2" t="s">
        <v>11</v>
      </c>
      <c r="H6">
        <v>2014</v>
      </c>
      <c r="I6">
        <v>24700</v>
      </c>
      <c r="J6">
        <v>0</v>
      </c>
      <c r="K6">
        <f>(B6 - $U$2) / $U$3</f>
        <v>-0.56036795292179509</v>
      </c>
      <c r="L6" t="str">
        <f t="shared" si="0"/>
        <v>Normal</v>
      </c>
      <c r="M6">
        <f>IFERROR((I6-$S$6)/$S$7,0)</f>
        <v>0</v>
      </c>
      <c r="N6" s="2" t="str">
        <f t="shared" si="1"/>
        <v>Normal</v>
      </c>
      <c r="O6" s="2">
        <f t="shared" si="2"/>
        <v>0</v>
      </c>
      <c r="P6" s="2" t="str">
        <f t="shared" si="3"/>
        <v>Normal</v>
      </c>
      <c r="U6">
        <f>AVERAGE(financials[[#All],[Total_Expenses]])</f>
        <v>158625.56605714295</v>
      </c>
    </row>
    <row r="7" spans="1:21" x14ac:dyDescent="0.35">
      <c r="A7">
        <v>0</v>
      </c>
      <c r="B7">
        <v>529550</v>
      </c>
      <c r="C7">
        <v>393380</v>
      </c>
      <c r="D7">
        <v>136170</v>
      </c>
      <c r="E7" s="1">
        <v>41974</v>
      </c>
      <c r="F7">
        <v>12</v>
      </c>
      <c r="G7" s="2" t="s">
        <v>12</v>
      </c>
      <c r="H7">
        <v>2014</v>
      </c>
      <c r="I7">
        <v>393380</v>
      </c>
      <c r="J7">
        <v>0</v>
      </c>
      <c r="K7">
        <f>(B7 - $U$2) / $U$3</f>
        <v>1.5215809704259338</v>
      </c>
      <c r="L7" t="str">
        <f t="shared" si="0"/>
        <v>Normal</v>
      </c>
      <c r="M7">
        <f>IFERROR((I7-$S$6)/$S$7,0)</f>
        <v>0</v>
      </c>
      <c r="N7" s="2" t="str">
        <f t="shared" si="1"/>
        <v>Normal</v>
      </c>
      <c r="O7" s="2">
        <f t="shared" si="2"/>
        <v>0</v>
      </c>
      <c r="P7" s="2" t="str">
        <f t="shared" si="3"/>
        <v>Normal</v>
      </c>
      <c r="U7">
        <f>_xlfn.STDEV.P(financials[Total_Expenses])</f>
        <v>222144.50066984684</v>
      </c>
    </row>
    <row r="8" spans="1:21" x14ac:dyDescent="0.35">
      <c r="A8">
        <v>0</v>
      </c>
      <c r="B8">
        <v>13815</v>
      </c>
      <c r="C8">
        <v>9210</v>
      </c>
      <c r="D8">
        <v>4605</v>
      </c>
      <c r="E8" s="1">
        <v>41699</v>
      </c>
      <c r="F8">
        <v>3</v>
      </c>
      <c r="G8" s="2" t="s">
        <v>13</v>
      </c>
      <c r="H8">
        <v>2014</v>
      </c>
      <c r="I8">
        <v>9210</v>
      </c>
      <c r="J8">
        <v>0</v>
      </c>
      <c r="K8">
        <f>(B8 - $U$2) / $U$3</f>
        <v>-0.65858944172176359</v>
      </c>
      <c r="L8" t="str">
        <f t="shared" si="0"/>
        <v>Normal</v>
      </c>
      <c r="M8">
        <f>IFERROR((I8-$S$6)/$S$7,0)</f>
        <v>0</v>
      </c>
      <c r="N8" s="2" t="str">
        <f t="shared" si="1"/>
        <v>Normal</v>
      </c>
      <c r="O8" s="2">
        <f t="shared" si="2"/>
        <v>0</v>
      </c>
      <c r="P8" s="2" t="str">
        <f t="shared" si="3"/>
        <v>Normal</v>
      </c>
    </row>
    <row r="9" spans="1:21" x14ac:dyDescent="0.35">
      <c r="A9">
        <v>0</v>
      </c>
      <c r="B9">
        <v>30216</v>
      </c>
      <c r="C9">
        <v>7554</v>
      </c>
      <c r="D9">
        <v>22662</v>
      </c>
      <c r="E9" s="1">
        <v>41791</v>
      </c>
      <c r="F9">
        <v>6</v>
      </c>
      <c r="G9" s="2" t="s">
        <v>11</v>
      </c>
      <c r="H9">
        <v>2014</v>
      </c>
      <c r="I9">
        <v>7554</v>
      </c>
      <c r="J9">
        <v>0</v>
      </c>
      <c r="K9">
        <f>(B9 - $U$2) / $U$3</f>
        <v>-0.58925737209369033</v>
      </c>
      <c r="L9" t="str">
        <f t="shared" si="0"/>
        <v>Normal</v>
      </c>
      <c r="M9">
        <f>IFERROR((I9-$S$6)/$S$7,0)</f>
        <v>0</v>
      </c>
      <c r="N9" s="2" t="str">
        <f t="shared" si="1"/>
        <v>Normal</v>
      </c>
      <c r="O9" s="2">
        <f t="shared" si="2"/>
        <v>0</v>
      </c>
      <c r="P9" s="2" t="str">
        <f t="shared" si="3"/>
        <v>Normal</v>
      </c>
    </row>
    <row r="10" spans="1:21" x14ac:dyDescent="0.35">
      <c r="A10">
        <v>0</v>
      </c>
      <c r="B10">
        <v>37980</v>
      </c>
      <c r="C10">
        <v>18990</v>
      </c>
      <c r="D10">
        <v>18990</v>
      </c>
      <c r="E10" s="1">
        <v>41791</v>
      </c>
      <c r="F10">
        <v>6</v>
      </c>
      <c r="G10" s="2" t="s">
        <v>11</v>
      </c>
      <c r="H10">
        <v>2014</v>
      </c>
      <c r="I10">
        <v>18990</v>
      </c>
      <c r="J10">
        <v>0</v>
      </c>
      <c r="K10">
        <f>(B10 - $U$2) / $U$3</f>
        <v>-0.55643655698532124</v>
      </c>
      <c r="L10" t="str">
        <f t="shared" si="0"/>
        <v>Normal</v>
      </c>
      <c r="M10">
        <f>IFERROR((I10-$S$6)/$S$7,0)</f>
        <v>0</v>
      </c>
      <c r="N10" s="2" t="str">
        <f t="shared" si="1"/>
        <v>Normal</v>
      </c>
      <c r="O10" s="2">
        <f t="shared" si="2"/>
        <v>0</v>
      </c>
      <c r="P10" s="2" t="str">
        <f t="shared" si="3"/>
        <v>Normal</v>
      </c>
      <c r="U10">
        <f>AVERAGE(financials[[#All],[Calculated_Profit]])</f>
        <v>0</v>
      </c>
    </row>
    <row r="11" spans="1:21" x14ac:dyDescent="0.35">
      <c r="A11">
        <v>0</v>
      </c>
      <c r="B11">
        <v>18540</v>
      </c>
      <c r="C11">
        <v>4635</v>
      </c>
      <c r="D11">
        <v>13905</v>
      </c>
      <c r="E11" s="1">
        <v>41791</v>
      </c>
      <c r="F11">
        <v>6</v>
      </c>
      <c r="G11" s="2" t="s">
        <v>11</v>
      </c>
      <c r="H11">
        <v>2014</v>
      </c>
      <c r="I11">
        <v>4635</v>
      </c>
      <c r="J11">
        <v>0</v>
      </c>
      <c r="K11">
        <f>(B11 - $U$2) / $U$3</f>
        <v>-0.6386154139800011</v>
      </c>
      <c r="L11" t="str">
        <f t="shared" si="0"/>
        <v>Normal</v>
      </c>
      <c r="M11">
        <f>IFERROR((I11-$S$6)/$S$7,0)</f>
        <v>0</v>
      </c>
      <c r="N11" s="2" t="str">
        <f t="shared" si="1"/>
        <v>Normal</v>
      </c>
      <c r="O11" s="2">
        <f t="shared" si="2"/>
        <v>0</v>
      </c>
      <c r="P11" s="2" t="str">
        <f t="shared" si="3"/>
        <v>Normal</v>
      </c>
      <c r="U11">
        <f>_xlfn.STDEV.P(financials[[#All],[Calculated_Profit]])</f>
        <v>0</v>
      </c>
    </row>
    <row r="12" spans="1:21" x14ac:dyDescent="0.35">
      <c r="A12">
        <v>0</v>
      </c>
      <c r="B12">
        <v>37050</v>
      </c>
      <c r="C12">
        <v>24700</v>
      </c>
      <c r="D12">
        <v>12350</v>
      </c>
      <c r="E12" s="1">
        <v>41791</v>
      </c>
      <c r="F12">
        <v>6</v>
      </c>
      <c r="G12" s="2" t="s">
        <v>11</v>
      </c>
      <c r="H12">
        <v>2014</v>
      </c>
      <c r="I12">
        <v>24700</v>
      </c>
      <c r="J12">
        <v>0</v>
      </c>
      <c r="K12">
        <f>(B12 - $U$2) / $U$3</f>
        <v>-0.56036795292179509</v>
      </c>
      <c r="L12" t="str">
        <f t="shared" si="0"/>
        <v>Normal</v>
      </c>
      <c r="M12">
        <f>IFERROR((I12-$S$6)/$S$7,0)</f>
        <v>0</v>
      </c>
      <c r="N12" s="2" t="str">
        <f t="shared" si="1"/>
        <v>Normal</v>
      </c>
      <c r="O12" s="2">
        <f t="shared" si="2"/>
        <v>0</v>
      </c>
      <c r="P12" s="2" t="str">
        <f t="shared" si="3"/>
        <v>Normal</v>
      </c>
    </row>
    <row r="13" spans="1:21" x14ac:dyDescent="0.35">
      <c r="A13">
        <v>0</v>
      </c>
      <c r="B13">
        <v>333187.5</v>
      </c>
      <c r="C13">
        <v>319860</v>
      </c>
      <c r="D13">
        <v>13327.5</v>
      </c>
      <c r="E13" s="1">
        <v>41821</v>
      </c>
      <c r="F13">
        <v>7</v>
      </c>
      <c r="G13" s="2" t="s">
        <v>14</v>
      </c>
      <c r="H13">
        <v>2014</v>
      </c>
      <c r="I13">
        <v>319860</v>
      </c>
      <c r="J13">
        <v>0</v>
      </c>
      <c r="K13">
        <f>(B13 - $U$2) / $U$3</f>
        <v>0.69149630959168329</v>
      </c>
      <c r="L13" t="str">
        <f t="shared" si="0"/>
        <v>Normal</v>
      </c>
      <c r="M13">
        <f>IFERROR((I13-$S$6)/$S$7,0)</f>
        <v>0</v>
      </c>
      <c r="N13" s="2" t="str">
        <f t="shared" si="1"/>
        <v>Normal</v>
      </c>
      <c r="O13" s="2">
        <f t="shared" si="2"/>
        <v>0</v>
      </c>
      <c r="P13" s="2" t="str">
        <f t="shared" si="3"/>
        <v>Normal</v>
      </c>
    </row>
    <row r="14" spans="1:21" x14ac:dyDescent="0.35">
      <c r="A14">
        <v>0</v>
      </c>
      <c r="B14">
        <v>287400</v>
      </c>
      <c r="C14">
        <v>239500</v>
      </c>
      <c r="D14">
        <v>47900</v>
      </c>
      <c r="E14" s="1">
        <v>41852</v>
      </c>
      <c r="F14">
        <v>8</v>
      </c>
      <c r="G14" s="2" t="s">
        <v>15</v>
      </c>
      <c r="H14">
        <v>2014</v>
      </c>
      <c r="I14">
        <v>239500</v>
      </c>
      <c r="J14">
        <v>0</v>
      </c>
      <c r="K14">
        <f>(B14 - $U$2) / $U$3</f>
        <v>0.49793846933222313</v>
      </c>
      <c r="L14" t="str">
        <f t="shared" si="0"/>
        <v>Normal</v>
      </c>
      <c r="M14">
        <f>IFERROR((I14-$S$6)/$S$7,0)</f>
        <v>0</v>
      </c>
      <c r="N14" s="2" t="str">
        <f t="shared" si="1"/>
        <v>Normal</v>
      </c>
      <c r="O14" s="2">
        <f t="shared" si="2"/>
        <v>0</v>
      </c>
      <c r="P14" s="2" t="str">
        <f t="shared" si="3"/>
        <v>Normal</v>
      </c>
    </row>
    <row r="15" spans="1:21" x14ac:dyDescent="0.35">
      <c r="A15">
        <v>0</v>
      </c>
      <c r="B15">
        <v>15022</v>
      </c>
      <c r="C15">
        <v>10730</v>
      </c>
      <c r="D15">
        <v>4292</v>
      </c>
      <c r="E15" s="1">
        <v>41883</v>
      </c>
      <c r="F15">
        <v>9</v>
      </c>
      <c r="G15" s="2" t="s">
        <v>16</v>
      </c>
      <c r="H15">
        <v>2014</v>
      </c>
      <c r="I15">
        <v>10730</v>
      </c>
      <c r="J15">
        <v>0</v>
      </c>
      <c r="K15">
        <f>(B15 - $U$2) / $U$3</f>
        <v>-0.65348708161926472</v>
      </c>
      <c r="L15" t="str">
        <f t="shared" si="0"/>
        <v>Normal</v>
      </c>
      <c r="M15">
        <f>IFERROR((I15-$S$6)/$S$7,0)</f>
        <v>0</v>
      </c>
      <c r="N15" s="2" t="str">
        <f t="shared" si="1"/>
        <v>Normal</v>
      </c>
      <c r="O15" s="2">
        <f t="shared" si="2"/>
        <v>0</v>
      </c>
      <c r="P15" s="2" t="str">
        <f t="shared" si="3"/>
        <v>Normal</v>
      </c>
    </row>
    <row r="16" spans="1:21" x14ac:dyDescent="0.35">
      <c r="A16">
        <v>0</v>
      </c>
      <c r="B16">
        <v>43125</v>
      </c>
      <c r="C16">
        <v>41400</v>
      </c>
      <c r="D16">
        <v>1725</v>
      </c>
      <c r="E16" s="1">
        <v>41548</v>
      </c>
      <c r="F16">
        <v>10</v>
      </c>
      <c r="G16" s="2" t="s">
        <v>17</v>
      </c>
      <c r="H16">
        <v>2013</v>
      </c>
      <c r="I16">
        <v>41400</v>
      </c>
      <c r="J16">
        <v>0</v>
      </c>
      <c r="K16">
        <f>(B16 - $U$2) / $U$3</f>
        <v>-0.53468706011095757</v>
      </c>
      <c r="L16" t="str">
        <f t="shared" si="0"/>
        <v>Normal</v>
      </c>
      <c r="M16">
        <f>IFERROR((I16-$S$6)/$S$7,0)</f>
        <v>0</v>
      </c>
      <c r="N16" s="2" t="str">
        <f t="shared" si="1"/>
        <v>Normal</v>
      </c>
      <c r="O16" s="2">
        <f t="shared" si="2"/>
        <v>0</v>
      </c>
      <c r="P16" s="2" t="str">
        <f t="shared" si="3"/>
        <v>Normal</v>
      </c>
    </row>
    <row r="17" spans="1:16" x14ac:dyDescent="0.35">
      <c r="A17">
        <v>0</v>
      </c>
      <c r="B17">
        <v>9225</v>
      </c>
      <c r="C17">
        <v>6150</v>
      </c>
      <c r="D17">
        <v>3075</v>
      </c>
      <c r="E17" s="1">
        <v>41974</v>
      </c>
      <c r="F17">
        <v>12</v>
      </c>
      <c r="G17" s="2" t="s">
        <v>12</v>
      </c>
      <c r="H17">
        <v>2014</v>
      </c>
      <c r="I17">
        <v>6150</v>
      </c>
      <c r="J17">
        <v>0</v>
      </c>
      <c r="K17">
        <f>(B17 - $U$2) / $U$3</f>
        <v>-0.67799278295661858</v>
      </c>
      <c r="L17" t="str">
        <f t="shared" si="0"/>
        <v>Normal</v>
      </c>
      <c r="M17">
        <f>IFERROR((I17-$S$6)/$S$7,0)</f>
        <v>0</v>
      </c>
      <c r="N17" s="2" t="str">
        <f t="shared" si="1"/>
        <v>Normal</v>
      </c>
      <c r="O17" s="2">
        <f t="shared" si="2"/>
        <v>0</v>
      </c>
      <c r="P17" s="2" t="str">
        <f t="shared" si="3"/>
        <v>Normal</v>
      </c>
    </row>
    <row r="18" spans="1:16" x14ac:dyDescent="0.35">
      <c r="A18">
        <v>0</v>
      </c>
      <c r="B18">
        <v>5840</v>
      </c>
      <c r="C18">
        <v>2920</v>
      </c>
      <c r="D18">
        <v>2920</v>
      </c>
      <c r="E18" s="1">
        <v>41671</v>
      </c>
      <c r="F18">
        <v>2</v>
      </c>
      <c r="G18" s="2" t="s">
        <v>18</v>
      </c>
      <c r="H18">
        <v>2014</v>
      </c>
      <c r="I18">
        <v>2920</v>
      </c>
      <c r="J18">
        <v>0</v>
      </c>
      <c r="K18">
        <f>(B18 - $U$2) / $U$3</f>
        <v>-0.69230221870389175</v>
      </c>
      <c r="L18" t="str">
        <f t="shared" si="0"/>
        <v>Normal</v>
      </c>
      <c r="M18">
        <f>IFERROR((I18-$S$6)/$S$7,0)</f>
        <v>0</v>
      </c>
      <c r="N18" s="2" t="str">
        <f t="shared" si="1"/>
        <v>Normal</v>
      </c>
      <c r="O18" s="2">
        <f t="shared" si="2"/>
        <v>0</v>
      </c>
      <c r="P18" s="2" t="str">
        <f t="shared" si="3"/>
        <v>Normal</v>
      </c>
    </row>
    <row r="19" spans="1:16" x14ac:dyDescent="0.35">
      <c r="A19">
        <v>0</v>
      </c>
      <c r="B19">
        <v>14610</v>
      </c>
      <c r="C19">
        <v>9740</v>
      </c>
      <c r="D19">
        <v>4870</v>
      </c>
      <c r="E19" s="1">
        <v>41671</v>
      </c>
      <c r="F19">
        <v>2</v>
      </c>
      <c r="G19" s="2" t="s">
        <v>18</v>
      </c>
      <c r="H19">
        <v>2014</v>
      </c>
      <c r="I19">
        <v>9740</v>
      </c>
      <c r="J19">
        <v>0</v>
      </c>
      <c r="K19">
        <f>(B19 - $U$2) / $U$3</f>
        <v>-0.65522873229219725</v>
      </c>
      <c r="L19" t="str">
        <f t="shared" si="0"/>
        <v>Normal</v>
      </c>
      <c r="M19">
        <f>IFERROR((I19-$S$6)/$S$7,0)</f>
        <v>0</v>
      </c>
      <c r="N19" s="2" t="str">
        <f t="shared" si="1"/>
        <v>Normal</v>
      </c>
      <c r="O19" s="2">
        <f t="shared" si="2"/>
        <v>0</v>
      </c>
      <c r="P19" s="2" t="str">
        <f t="shared" si="3"/>
        <v>Normal</v>
      </c>
    </row>
    <row r="20" spans="1:16" x14ac:dyDescent="0.35">
      <c r="A20">
        <v>0</v>
      </c>
      <c r="B20">
        <v>30216</v>
      </c>
      <c r="C20">
        <v>7554</v>
      </c>
      <c r="D20">
        <v>22662</v>
      </c>
      <c r="E20" s="1">
        <v>41791</v>
      </c>
      <c r="F20">
        <v>6</v>
      </c>
      <c r="G20" s="2" t="s">
        <v>11</v>
      </c>
      <c r="H20">
        <v>2014</v>
      </c>
      <c r="I20">
        <v>7554</v>
      </c>
      <c r="J20">
        <v>0</v>
      </c>
      <c r="K20">
        <f>(B20 - $U$2) / $U$3</f>
        <v>-0.58925737209369033</v>
      </c>
      <c r="L20" t="str">
        <f t="shared" si="0"/>
        <v>Normal</v>
      </c>
      <c r="M20">
        <f>IFERROR((I20-$S$6)/$S$7,0)</f>
        <v>0</v>
      </c>
      <c r="N20" s="2" t="str">
        <f t="shared" si="1"/>
        <v>Normal</v>
      </c>
      <c r="O20" s="2">
        <f t="shared" si="2"/>
        <v>0</v>
      </c>
      <c r="P20" s="2" t="str">
        <f t="shared" si="3"/>
        <v>Normal</v>
      </c>
    </row>
    <row r="21" spans="1:16" x14ac:dyDescent="0.35">
      <c r="A21">
        <v>0</v>
      </c>
      <c r="B21">
        <v>352100</v>
      </c>
      <c r="C21">
        <v>261560</v>
      </c>
      <c r="D21">
        <v>90540</v>
      </c>
      <c r="E21" s="1">
        <v>41791</v>
      </c>
      <c r="F21">
        <v>6</v>
      </c>
      <c r="G21" s="2" t="s">
        <v>11</v>
      </c>
      <c r="H21">
        <v>2014</v>
      </c>
      <c r="I21">
        <v>261560</v>
      </c>
      <c r="J21">
        <v>0</v>
      </c>
      <c r="K21">
        <f>(B21 - $U$2) / $U$3</f>
        <v>0.77144526190196538</v>
      </c>
      <c r="L21" t="str">
        <f t="shared" si="0"/>
        <v>Normal</v>
      </c>
      <c r="M21">
        <f>IFERROR((I21-$S$6)/$S$7,0)</f>
        <v>0</v>
      </c>
      <c r="N21" s="2" t="str">
        <f t="shared" si="1"/>
        <v>Normal</v>
      </c>
      <c r="O21" s="2">
        <f t="shared" si="2"/>
        <v>0</v>
      </c>
      <c r="P21" s="2" t="str">
        <f t="shared" si="3"/>
        <v>Normal</v>
      </c>
    </row>
    <row r="22" spans="1:16" x14ac:dyDescent="0.35">
      <c r="A22">
        <v>0</v>
      </c>
      <c r="B22">
        <v>4404</v>
      </c>
      <c r="C22">
        <v>1101</v>
      </c>
      <c r="D22">
        <v>3303</v>
      </c>
      <c r="E22" s="1">
        <v>41821</v>
      </c>
      <c r="F22">
        <v>7</v>
      </c>
      <c r="G22" s="2" t="s">
        <v>14</v>
      </c>
      <c r="H22">
        <v>2014</v>
      </c>
      <c r="I22">
        <v>1101</v>
      </c>
      <c r="J22">
        <v>0</v>
      </c>
      <c r="K22">
        <f>(B22 - $U$2) / $U$3</f>
        <v>-0.69837263221440415</v>
      </c>
      <c r="L22" t="str">
        <f t="shared" si="0"/>
        <v>Normal</v>
      </c>
      <c r="M22">
        <f>IFERROR((I22-$S$6)/$S$7,0)</f>
        <v>0</v>
      </c>
      <c r="N22" s="2" t="str">
        <f t="shared" si="1"/>
        <v>Normal</v>
      </c>
      <c r="O22" s="2">
        <f t="shared" si="2"/>
        <v>0</v>
      </c>
      <c r="P22" s="2" t="str">
        <f t="shared" si="3"/>
        <v>Normal</v>
      </c>
    </row>
    <row r="23" spans="1:16" x14ac:dyDescent="0.35">
      <c r="A23">
        <v>0</v>
      </c>
      <c r="B23">
        <v>6181</v>
      </c>
      <c r="C23">
        <v>4415</v>
      </c>
      <c r="D23">
        <v>1766</v>
      </c>
      <c r="E23" s="1">
        <v>41852</v>
      </c>
      <c r="F23">
        <v>8</v>
      </c>
      <c r="G23" s="2" t="s">
        <v>15</v>
      </c>
      <c r="H23">
        <v>2014</v>
      </c>
      <c r="I23">
        <v>4415</v>
      </c>
      <c r="J23">
        <v>0</v>
      </c>
      <c r="K23">
        <f>(B23 - $U$2) / $U$3</f>
        <v>-0.69086070686051804</v>
      </c>
      <c r="L23" t="str">
        <f t="shared" si="0"/>
        <v>Normal</v>
      </c>
      <c r="M23">
        <f>IFERROR((I23-$S$6)/$S$7,0)</f>
        <v>0</v>
      </c>
      <c r="N23" s="2" t="str">
        <f t="shared" si="1"/>
        <v>Normal</v>
      </c>
      <c r="O23" s="2">
        <f t="shared" si="2"/>
        <v>0</v>
      </c>
      <c r="P23" s="2" t="str">
        <f t="shared" si="3"/>
        <v>Normal</v>
      </c>
    </row>
    <row r="24" spans="1:16" x14ac:dyDescent="0.35">
      <c r="A24">
        <v>0</v>
      </c>
      <c r="B24">
        <v>8235</v>
      </c>
      <c r="C24">
        <v>5490</v>
      </c>
      <c r="D24">
        <v>2745</v>
      </c>
      <c r="E24" s="1">
        <v>41518</v>
      </c>
      <c r="F24">
        <v>9</v>
      </c>
      <c r="G24" s="2" t="s">
        <v>16</v>
      </c>
      <c r="H24">
        <v>2013</v>
      </c>
      <c r="I24">
        <v>5490</v>
      </c>
      <c r="J24">
        <v>0</v>
      </c>
      <c r="K24">
        <f>(B24 - $U$2) / $U$3</f>
        <v>-0.6821778173406069</v>
      </c>
      <c r="L24" t="str">
        <f t="shared" si="0"/>
        <v>Normal</v>
      </c>
      <c r="M24">
        <f>IFERROR((I24-$S$6)/$S$7,0)</f>
        <v>0</v>
      </c>
      <c r="N24" s="2" t="str">
        <f t="shared" si="1"/>
        <v>Normal</v>
      </c>
      <c r="O24" s="2">
        <f t="shared" si="2"/>
        <v>0</v>
      </c>
      <c r="P24" s="2" t="str">
        <f t="shared" si="3"/>
        <v>Normal</v>
      </c>
    </row>
    <row r="25" spans="1:16" x14ac:dyDescent="0.35">
      <c r="A25">
        <v>0</v>
      </c>
      <c r="B25">
        <v>236400</v>
      </c>
      <c r="C25">
        <v>197000</v>
      </c>
      <c r="D25">
        <v>39400</v>
      </c>
      <c r="E25" s="1">
        <v>41518</v>
      </c>
      <c r="F25">
        <v>9</v>
      </c>
      <c r="G25" s="2" t="s">
        <v>16</v>
      </c>
      <c r="H25">
        <v>2013</v>
      </c>
      <c r="I25">
        <v>197000</v>
      </c>
      <c r="J25">
        <v>0</v>
      </c>
      <c r="K25">
        <f>(B25 - $U$2) / $U$3</f>
        <v>0.28234578894494561</v>
      </c>
      <c r="L25" t="str">
        <f t="shared" si="0"/>
        <v>Normal</v>
      </c>
      <c r="M25">
        <f>IFERROR((I25-$S$6)/$S$7,0)</f>
        <v>0</v>
      </c>
      <c r="N25" s="2" t="str">
        <f t="shared" si="1"/>
        <v>Normal</v>
      </c>
      <c r="O25" s="2">
        <f t="shared" si="2"/>
        <v>0</v>
      </c>
      <c r="P25" s="2" t="str">
        <f t="shared" si="3"/>
        <v>Normal</v>
      </c>
    </row>
    <row r="26" spans="1:16" x14ac:dyDescent="0.35">
      <c r="A26">
        <v>0</v>
      </c>
      <c r="B26">
        <v>37080</v>
      </c>
      <c r="C26">
        <v>24720</v>
      </c>
      <c r="D26">
        <v>12360</v>
      </c>
      <c r="E26" s="1">
        <v>41883</v>
      </c>
      <c r="F26">
        <v>9</v>
      </c>
      <c r="G26" s="2" t="s">
        <v>16</v>
      </c>
      <c r="H26">
        <v>2014</v>
      </c>
      <c r="I26">
        <v>24720</v>
      </c>
      <c r="J26">
        <v>0</v>
      </c>
      <c r="K26">
        <f>(B26 - $U$2) / $U$3</f>
        <v>-0.56024113369803785</v>
      </c>
      <c r="L26" t="str">
        <f t="shared" si="0"/>
        <v>Normal</v>
      </c>
      <c r="M26">
        <f>IFERROR((I26-$S$6)/$S$7,0)</f>
        <v>0</v>
      </c>
      <c r="N26" s="2" t="str">
        <f t="shared" si="1"/>
        <v>Normal</v>
      </c>
      <c r="O26" s="2">
        <f t="shared" si="2"/>
        <v>0</v>
      </c>
      <c r="P26" s="2" t="str">
        <f t="shared" si="3"/>
        <v>Normal</v>
      </c>
    </row>
    <row r="27" spans="1:16" x14ac:dyDescent="0.35">
      <c r="A27">
        <v>0</v>
      </c>
      <c r="B27">
        <v>8001</v>
      </c>
      <c r="C27">
        <v>5715</v>
      </c>
      <c r="D27">
        <v>2286</v>
      </c>
      <c r="E27" s="1">
        <v>41913</v>
      </c>
      <c r="F27">
        <v>10</v>
      </c>
      <c r="G27" s="2" t="s">
        <v>17</v>
      </c>
      <c r="H27">
        <v>2014</v>
      </c>
      <c r="I27">
        <v>5715</v>
      </c>
      <c r="J27">
        <v>0</v>
      </c>
      <c r="K27">
        <f>(B27 - $U$2) / $U$3</f>
        <v>-0.68316700728591317</v>
      </c>
      <c r="L27" t="str">
        <f t="shared" si="0"/>
        <v>Normal</v>
      </c>
      <c r="M27">
        <f>IFERROR((I27-$S$6)/$S$7,0)</f>
        <v>0</v>
      </c>
      <c r="N27" s="2" t="str">
        <f t="shared" si="1"/>
        <v>Normal</v>
      </c>
      <c r="O27" s="2">
        <f t="shared" si="2"/>
        <v>0</v>
      </c>
      <c r="P27" s="2" t="str">
        <f t="shared" si="3"/>
        <v>Normal</v>
      </c>
    </row>
    <row r="28" spans="1:16" x14ac:dyDescent="0.35">
      <c r="A28">
        <v>0</v>
      </c>
      <c r="B28">
        <v>603750</v>
      </c>
      <c r="C28">
        <v>448500</v>
      </c>
      <c r="D28">
        <v>155250</v>
      </c>
      <c r="E28" s="1">
        <v>41579</v>
      </c>
      <c r="F28">
        <v>11</v>
      </c>
      <c r="G28" s="2" t="s">
        <v>19</v>
      </c>
      <c r="H28">
        <v>2013</v>
      </c>
      <c r="I28">
        <v>448500</v>
      </c>
      <c r="J28">
        <v>0</v>
      </c>
      <c r="K28">
        <f>(B28 - $U$2) / $U$3</f>
        <v>1.8352471838521298</v>
      </c>
      <c r="L28" t="str">
        <f t="shared" si="0"/>
        <v>Normal</v>
      </c>
      <c r="M28">
        <f>IFERROR((I28-$S$6)/$S$7,0)</f>
        <v>0</v>
      </c>
      <c r="N28" s="2" t="str">
        <f t="shared" si="1"/>
        <v>Normal</v>
      </c>
      <c r="O28" s="2">
        <f t="shared" si="2"/>
        <v>0</v>
      </c>
      <c r="P28" s="2" t="str">
        <f t="shared" si="3"/>
        <v>Normal</v>
      </c>
    </row>
    <row r="29" spans="1:16" x14ac:dyDescent="0.35">
      <c r="A29">
        <v>0</v>
      </c>
      <c r="B29">
        <v>10944</v>
      </c>
      <c r="C29">
        <v>2736</v>
      </c>
      <c r="D29">
        <v>8208</v>
      </c>
      <c r="E29" s="1">
        <v>41579</v>
      </c>
      <c r="F29">
        <v>11</v>
      </c>
      <c r="G29" s="2" t="s">
        <v>19</v>
      </c>
      <c r="H29">
        <v>2013</v>
      </c>
      <c r="I29">
        <v>2736</v>
      </c>
      <c r="J29">
        <v>0</v>
      </c>
      <c r="K29">
        <f>(B29 - $U$2) / $U$3</f>
        <v>-0.67072604143532977</v>
      </c>
      <c r="L29" t="str">
        <f t="shared" si="0"/>
        <v>Normal</v>
      </c>
      <c r="M29">
        <f>IFERROR((I29-$S$6)/$S$7,0)</f>
        <v>0</v>
      </c>
      <c r="N29" s="2" t="str">
        <f t="shared" si="1"/>
        <v>Normal</v>
      </c>
      <c r="O29" s="2">
        <f t="shared" si="2"/>
        <v>0</v>
      </c>
      <c r="P29" s="2" t="str">
        <f t="shared" si="3"/>
        <v>Normal</v>
      </c>
    </row>
    <row r="30" spans="1:16" x14ac:dyDescent="0.35">
      <c r="A30">
        <v>0</v>
      </c>
      <c r="B30">
        <v>32280</v>
      </c>
      <c r="C30">
        <v>21520</v>
      </c>
      <c r="D30">
        <v>10760</v>
      </c>
      <c r="E30" s="1">
        <v>41609</v>
      </c>
      <c r="F30">
        <v>12</v>
      </c>
      <c r="G30" s="2" t="s">
        <v>12</v>
      </c>
      <c r="H30">
        <v>2013</v>
      </c>
      <c r="I30">
        <v>21520</v>
      </c>
      <c r="J30">
        <v>0</v>
      </c>
      <c r="K30">
        <f>(B30 - $U$2) / $U$3</f>
        <v>-0.58053220949919337</v>
      </c>
      <c r="L30" t="str">
        <f t="shared" si="0"/>
        <v>Normal</v>
      </c>
      <c r="M30">
        <f>IFERROR((I30-$S$6)/$S$7,0)</f>
        <v>0</v>
      </c>
      <c r="N30" s="2" t="str">
        <f t="shared" si="1"/>
        <v>Normal</v>
      </c>
      <c r="O30" s="2">
        <f t="shared" si="2"/>
        <v>0</v>
      </c>
      <c r="P30" s="2" t="str">
        <f t="shared" si="3"/>
        <v>Normal</v>
      </c>
    </row>
    <row r="31" spans="1:16" x14ac:dyDescent="0.35">
      <c r="A31">
        <v>0</v>
      </c>
      <c r="B31">
        <v>36340</v>
      </c>
      <c r="C31">
        <v>18170</v>
      </c>
      <c r="D31">
        <v>18170</v>
      </c>
      <c r="E31" s="1">
        <v>41974</v>
      </c>
      <c r="F31">
        <v>12</v>
      </c>
      <c r="G31" s="2" t="s">
        <v>12</v>
      </c>
      <c r="H31">
        <v>2014</v>
      </c>
      <c r="I31">
        <v>18170</v>
      </c>
      <c r="J31">
        <v>0</v>
      </c>
      <c r="K31">
        <f>(B31 - $U$2) / $U$3</f>
        <v>-0.56336934121738269</v>
      </c>
      <c r="L31" t="str">
        <f t="shared" si="0"/>
        <v>Normal</v>
      </c>
      <c r="M31">
        <f>IFERROR((I31-$S$6)/$S$7,0)</f>
        <v>0</v>
      </c>
      <c r="N31" s="2" t="str">
        <f t="shared" si="1"/>
        <v>Normal</v>
      </c>
      <c r="O31" s="2">
        <f t="shared" si="2"/>
        <v>0</v>
      </c>
      <c r="P31" s="2" t="str">
        <f t="shared" si="3"/>
        <v>Normal</v>
      </c>
    </row>
    <row r="32" spans="1:16" x14ac:dyDescent="0.35">
      <c r="A32">
        <v>0</v>
      </c>
      <c r="B32">
        <v>529550</v>
      </c>
      <c r="C32">
        <v>393380</v>
      </c>
      <c r="D32">
        <v>136170</v>
      </c>
      <c r="E32" s="1">
        <v>41974</v>
      </c>
      <c r="F32">
        <v>12</v>
      </c>
      <c r="G32" s="2" t="s">
        <v>12</v>
      </c>
      <c r="H32">
        <v>2014</v>
      </c>
      <c r="I32">
        <v>393380</v>
      </c>
      <c r="J32">
        <v>0</v>
      </c>
      <c r="K32">
        <f>(B32 - $U$2) / $U$3</f>
        <v>1.5215809704259338</v>
      </c>
      <c r="L32" t="str">
        <f t="shared" si="0"/>
        <v>Normal</v>
      </c>
      <c r="M32">
        <f>IFERROR((I32-$S$6)/$S$7,0)</f>
        <v>0</v>
      </c>
      <c r="N32" s="2" t="str">
        <f t="shared" si="1"/>
        <v>Normal</v>
      </c>
      <c r="O32" s="2">
        <f t="shared" si="2"/>
        <v>0</v>
      </c>
      <c r="P32" s="2" t="str">
        <f t="shared" si="3"/>
        <v>Normal</v>
      </c>
    </row>
    <row r="33" spans="1:16" x14ac:dyDescent="0.35">
      <c r="A33">
        <v>0</v>
      </c>
      <c r="B33">
        <v>10451</v>
      </c>
      <c r="C33">
        <v>7465</v>
      </c>
      <c r="D33">
        <v>2986</v>
      </c>
      <c r="E33" s="1">
        <v>41640</v>
      </c>
      <c r="F33">
        <v>1</v>
      </c>
      <c r="G33" s="2" t="s">
        <v>10</v>
      </c>
      <c r="H33">
        <v>2014</v>
      </c>
      <c r="I33">
        <v>7465</v>
      </c>
      <c r="J33">
        <v>0</v>
      </c>
      <c r="K33">
        <f>(B33 - $U$2) / $U$3</f>
        <v>-0.67281010401240671</v>
      </c>
      <c r="L33" t="str">
        <f t="shared" si="0"/>
        <v>Normal</v>
      </c>
      <c r="M33">
        <f>IFERROR((I33-$S$6)/$S$7,0)</f>
        <v>0</v>
      </c>
      <c r="N33" s="2" t="str">
        <f t="shared" si="1"/>
        <v>Normal</v>
      </c>
      <c r="O33" s="2">
        <f t="shared" si="2"/>
        <v>0</v>
      </c>
      <c r="P33" s="2" t="str">
        <f t="shared" si="3"/>
        <v>Normal</v>
      </c>
    </row>
    <row r="34" spans="1:16" x14ac:dyDescent="0.35">
      <c r="A34">
        <v>0</v>
      </c>
      <c r="B34">
        <v>225500</v>
      </c>
      <c r="C34">
        <v>216480</v>
      </c>
      <c r="D34">
        <v>9020</v>
      </c>
      <c r="E34" s="1">
        <v>41671</v>
      </c>
      <c r="F34">
        <v>2</v>
      </c>
      <c r="G34" s="2" t="s">
        <v>18</v>
      </c>
      <c r="H34">
        <v>2014</v>
      </c>
      <c r="I34">
        <v>216480</v>
      </c>
      <c r="J34">
        <v>0</v>
      </c>
      <c r="K34">
        <f>(B34 - $U$2) / $U$3</f>
        <v>0.23626813764648824</v>
      </c>
      <c r="L34" t="str">
        <f t="shared" si="0"/>
        <v>Normal</v>
      </c>
      <c r="M34">
        <f>IFERROR((I34-$S$6)/$S$7,0)</f>
        <v>0</v>
      </c>
      <c r="N34" s="2" t="str">
        <f t="shared" si="1"/>
        <v>Normal</v>
      </c>
      <c r="O34" s="2">
        <f t="shared" si="2"/>
        <v>0</v>
      </c>
      <c r="P34" s="2" t="str">
        <f t="shared" si="3"/>
        <v>Normal</v>
      </c>
    </row>
    <row r="35" spans="1:16" x14ac:dyDescent="0.35">
      <c r="A35">
        <v>0</v>
      </c>
      <c r="B35">
        <v>25932</v>
      </c>
      <c r="C35">
        <v>6483</v>
      </c>
      <c r="D35">
        <v>19449</v>
      </c>
      <c r="E35" s="1">
        <v>41699</v>
      </c>
      <c r="F35">
        <v>3</v>
      </c>
      <c r="G35" s="2" t="s">
        <v>13</v>
      </c>
      <c r="H35">
        <v>2014</v>
      </c>
      <c r="I35">
        <v>6483</v>
      </c>
      <c r="J35">
        <v>0</v>
      </c>
      <c r="K35">
        <f>(B35 - $U$2) / $U$3</f>
        <v>-0.60736715724622159</v>
      </c>
      <c r="L35" t="str">
        <f t="shared" si="0"/>
        <v>Normal</v>
      </c>
      <c r="M35">
        <f>IFERROR((I35-$S$6)/$S$7,0)</f>
        <v>0</v>
      </c>
      <c r="N35" s="2" t="str">
        <f t="shared" si="1"/>
        <v>Normal</v>
      </c>
      <c r="O35" s="2">
        <f t="shared" si="2"/>
        <v>0</v>
      </c>
      <c r="P35" s="2" t="str">
        <f t="shared" si="3"/>
        <v>Normal</v>
      </c>
    </row>
    <row r="36" spans="1:16" x14ac:dyDescent="0.35">
      <c r="A36">
        <v>0</v>
      </c>
      <c r="B36">
        <v>352100</v>
      </c>
      <c r="C36">
        <v>261560</v>
      </c>
      <c r="D36">
        <v>90540</v>
      </c>
      <c r="E36" s="1">
        <v>41791</v>
      </c>
      <c r="F36">
        <v>6</v>
      </c>
      <c r="G36" s="2" t="s">
        <v>11</v>
      </c>
      <c r="H36">
        <v>2014</v>
      </c>
      <c r="I36">
        <v>261560</v>
      </c>
      <c r="J36">
        <v>0</v>
      </c>
      <c r="K36">
        <f>(B36 - $U$2) / $U$3</f>
        <v>0.77144526190196538</v>
      </c>
      <c r="L36" t="str">
        <f t="shared" si="0"/>
        <v>Normal</v>
      </c>
      <c r="M36">
        <f>IFERROR((I36-$S$6)/$S$7,0)</f>
        <v>0</v>
      </c>
      <c r="N36" s="2" t="str">
        <f t="shared" si="1"/>
        <v>Normal</v>
      </c>
      <c r="O36" s="2">
        <f t="shared" si="2"/>
        <v>0</v>
      </c>
      <c r="P36" s="2" t="str">
        <f t="shared" si="3"/>
        <v>Normal</v>
      </c>
    </row>
    <row r="37" spans="1:16" x14ac:dyDescent="0.35">
      <c r="A37">
        <v>0</v>
      </c>
      <c r="B37">
        <v>18540</v>
      </c>
      <c r="C37">
        <v>4635</v>
      </c>
      <c r="D37">
        <v>13905</v>
      </c>
      <c r="E37" s="1">
        <v>41791</v>
      </c>
      <c r="F37">
        <v>6</v>
      </c>
      <c r="G37" s="2" t="s">
        <v>11</v>
      </c>
      <c r="H37">
        <v>2014</v>
      </c>
      <c r="I37">
        <v>4635</v>
      </c>
      <c r="J37">
        <v>0</v>
      </c>
      <c r="K37">
        <f>(B37 - $U$2) / $U$3</f>
        <v>-0.6386154139800011</v>
      </c>
      <c r="L37" t="str">
        <f t="shared" si="0"/>
        <v>Normal</v>
      </c>
      <c r="M37">
        <f>IFERROR((I37-$S$6)/$S$7,0)</f>
        <v>0</v>
      </c>
      <c r="N37" s="2" t="str">
        <f t="shared" si="1"/>
        <v>Normal</v>
      </c>
      <c r="O37" s="2">
        <f t="shared" si="2"/>
        <v>0</v>
      </c>
      <c r="P37" s="2" t="str">
        <f t="shared" si="3"/>
        <v>Normal</v>
      </c>
    </row>
    <row r="38" spans="1:16" x14ac:dyDescent="0.35">
      <c r="A38">
        <v>0</v>
      </c>
      <c r="B38">
        <v>352625</v>
      </c>
      <c r="C38">
        <v>338520</v>
      </c>
      <c r="D38">
        <v>14105</v>
      </c>
      <c r="E38" s="1">
        <v>41852</v>
      </c>
      <c r="F38">
        <v>8</v>
      </c>
      <c r="G38" s="2" t="s">
        <v>15</v>
      </c>
      <c r="H38">
        <v>2014</v>
      </c>
      <c r="I38">
        <v>338520</v>
      </c>
      <c r="J38">
        <v>0</v>
      </c>
      <c r="K38">
        <f>(B38 - $U$2) / $U$3</f>
        <v>0.77366459831771683</v>
      </c>
      <c r="L38" t="str">
        <f t="shared" si="0"/>
        <v>Normal</v>
      </c>
      <c r="M38">
        <f>IFERROR((I38-$S$6)/$S$7,0)</f>
        <v>0</v>
      </c>
      <c r="N38" s="2" t="str">
        <f t="shared" si="1"/>
        <v>Normal</v>
      </c>
      <c r="O38" s="2">
        <f t="shared" si="2"/>
        <v>0</v>
      </c>
      <c r="P38" s="2" t="str">
        <f t="shared" si="3"/>
        <v>Normal</v>
      </c>
    </row>
    <row r="39" spans="1:16" x14ac:dyDescent="0.35">
      <c r="A39">
        <v>0</v>
      </c>
      <c r="B39">
        <v>43125</v>
      </c>
      <c r="C39">
        <v>41400</v>
      </c>
      <c r="D39">
        <v>1725</v>
      </c>
      <c r="E39" s="1">
        <v>41548</v>
      </c>
      <c r="F39">
        <v>10</v>
      </c>
      <c r="G39" s="2" t="s">
        <v>17</v>
      </c>
      <c r="H39">
        <v>2013</v>
      </c>
      <c r="I39">
        <v>41400</v>
      </c>
      <c r="J39">
        <v>0</v>
      </c>
      <c r="K39">
        <f>(B39 - $U$2) / $U$3</f>
        <v>-0.53468706011095757</v>
      </c>
      <c r="L39" t="str">
        <f t="shared" si="0"/>
        <v>Normal</v>
      </c>
      <c r="M39">
        <f>IFERROR((I39-$S$6)/$S$7,0)</f>
        <v>0</v>
      </c>
      <c r="N39" s="2" t="str">
        <f t="shared" si="1"/>
        <v>Normal</v>
      </c>
      <c r="O39" s="2">
        <f t="shared" si="2"/>
        <v>0</v>
      </c>
      <c r="P39" s="2" t="str">
        <f t="shared" si="3"/>
        <v>Normal</v>
      </c>
    </row>
    <row r="40" spans="1:16" x14ac:dyDescent="0.35">
      <c r="A40">
        <v>0</v>
      </c>
      <c r="B40">
        <v>600300</v>
      </c>
      <c r="C40">
        <v>500250</v>
      </c>
      <c r="D40">
        <v>100050</v>
      </c>
      <c r="E40" s="1">
        <v>41671</v>
      </c>
      <c r="F40">
        <v>2</v>
      </c>
      <c r="G40" s="2" t="s">
        <v>18</v>
      </c>
      <c r="H40">
        <v>2014</v>
      </c>
      <c r="I40">
        <v>500250</v>
      </c>
      <c r="J40">
        <v>0</v>
      </c>
      <c r="K40">
        <f>(B40 - $U$2) / $U$3</f>
        <v>1.8206629731200492</v>
      </c>
      <c r="L40" t="str">
        <f t="shared" si="0"/>
        <v>Normal</v>
      </c>
      <c r="M40">
        <f>IFERROR((I40-$S$6)/$S$7,0)</f>
        <v>0</v>
      </c>
      <c r="N40" s="2" t="str">
        <f t="shared" si="1"/>
        <v>Normal</v>
      </c>
      <c r="O40" s="2">
        <f t="shared" si="2"/>
        <v>0</v>
      </c>
      <c r="P40" s="2" t="str">
        <f t="shared" si="3"/>
        <v>Normal</v>
      </c>
    </row>
    <row r="41" spans="1:16" x14ac:dyDescent="0.35">
      <c r="A41">
        <v>0</v>
      </c>
      <c r="B41">
        <v>34056</v>
      </c>
      <c r="C41">
        <v>8514</v>
      </c>
      <c r="D41">
        <v>25542</v>
      </c>
      <c r="E41" s="1">
        <v>41730</v>
      </c>
      <c r="F41">
        <v>4</v>
      </c>
      <c r="G41" s="2" t="s">
        <v>20</v>
      </c>
      <c r="H41">
        <v>2014</v>
      </c>
      <c r="I41">
        <v>8514</v>
      </c>
      <c r="J41">
        <v>0</v>
      </c>
      <c r="K41">
        <f>(B41 - $U$2) / $U$3</f>
        <v>-0.57302451145276589</v>
      </c>
      <c r="L41" t="str">
        <f t="shared" si="0"/>
        <v>Normal</v>
      </c>
      <c r="M41">
        <f>IFERROR((I41-$S$6)/$S$7,0)</f>
        <v>0</v>
      </c>
      <c r="N41" s="2" t="str">
        <f t="shared" si="1"/>
        <v>Normal</v>
      </c>
      <c r="O41" s="2">
        <f t="shared" si="2"/>
        <v>0</v>
      </c>
      <c r="P41" s="2" t="str">
        <f t="shared" si="3"/>
        <v>Normal</v>
      </c>
    </row>
    <row r="42" spans="1:16" x14ac:dyDescent="0.35">
      <c r="A42">
        <v>0</v>
      </c>
      <c r="B42">
        <v>32670</v>
      </c>
      <c r="C42">
        <v>21780</v>
      </c>
      <c r="D42">
        <v>10890</v>
      </c>
      <c r="E42" s="1">
        <v>41791</v>
      </c>
      <c r="F42">
        <v>6</v>
      </c>
      <c r="G42" s="2" t="s">
        <v>11</v>
      </c>
      <c r="H42">
        <v>2014</v>
      </c>
      <c r="I42">
        <v>21780</v>
      </c>
      <c r="J42">
        <v>0</v>
      </c>
      <c r="K42">
        <f>(B42 - $U$2) / $U$3</f>
        <v>-0.57888355959034954</v>
      </c>
      <c r="L42" t="str">
        <f t="shared" si="0"/>
        <v>Normal</v>
      </c>
      <c r="M42">
        <f>IFERROR((I42-$S$6)/$S$7,0)</f>
        <v>0</v>
      </c>
      <c r="N42" s="2" t="str">
        <f t="shared" si="1"/>
        <v>Normal</v>
      </c>
      <c r="O42" s="2">
        <f t="shared" si="2"/>
        <v>0</v>
      </c>
      <c r="P42" s="2" t="str">
        <f t="shared" si="3"/>
        <v>Normal</v>
      </c>
    </row>
    <row r="43" spans="1:16" x14ac:dyDescent="0.35">
      <c r="A43">
        <v>0</v>
      </c>
      <c r="B43">
        <v>13320</v>
      </c>
      <c r="C43">
        <v>8880</v>
      </c>
      <c r="D43">
        <v>4440</v>
      </c>
      <c r="E43" s="1">
        <v>41791</v>
      </c>
      <c r="F43">
        <v>6</v>
      </c>
      <c r="G43" s="2" t="s">
        <v>11</v>
      </c>
      <c r="H43">
        <v>2014</v>
      </c>
      <c r="I43">
        <v>8880</v>
      </c>
      <c r="J43">
        <v>0</v>
      </c>
      <c r="K43">
        <f>(B43 - $U$2) / $U$3</f>
        <v>-0.66068195891375781</v>
      </c>
      <c r="L43" t="str">
        <f t="shared" si="0"/>
        <v>Normal</v>
      </c>
      <c r="M43">
        <f>IFERROR((I43-$S$6)/$S$7,0)</f>
        <v>0</v>
      </c>
      <c r="N43" s="2" t="str">
        <f t="shared" si="1"/>
        <v>Normal</v>
      </c>
      <c r="O43" s="2">
        <f t="shared" si="2"/>
        <v>0</v>
      </c>
      <c r="P43" s="2" t="str">
        <f t="shared" si="3"/>
        <v>Normal</v>
      </c>
    </row>
    <row r="44" spans="1:16" x14ac:dyDescent="0.35">
      <c r="A44">
        <v>0</v>
      </c>
      <c r="B44">
        <v>534450</v>
      </c>
      <c r="C44">
        <v>397020</v>
      </c>
      <c r="D44">
        <v>137430</v>
      </c>
      <c r="E44" s="1">
        <v>41518</v>
      </c>
      <c r="F44">
        <v>9</v>
      </c>
      <c r="G44" s="2" t="s">
        <v>16</v>
      </c>
      <c r="H44">
        <v>2013</v>
      </c>
      <c r="I44">
        <v>397020</v>
      </c>
      <c r="J44">
        <v>0</v>
      </c>
      <c r="K44">
        <f>(B44 - $U$2) / $U$3</f>
        <v>1.5422947769729467</v>
      </c>
      <c r="L44" t="str">
        <f t="shared" si="0"/>
        <v>Normal</v>
      </c>
      <c r="M44">
        <f>IFERROR((I44-$S$6)/$S$7,0)</f>
        <v>0</v>
      </c>
      <c r="N44" s="2" t="str">
        <f t="shared" si="1"/>
        <v>Normal</v>
      </c>
      <c r="O44" s="2">
        <f t="shared" si="2"/>
        <v>0</v>
      </c>
      <c r="P44" s="2" t="str">
        <f t="shared" si="3"/>
        <v>Normal</v>
      </c>
    </row>
    <row r="45" spans="1:16" x14ac:dyDescent="0.35">
      <c r="A45">
        <v>0</v>
      </c>
      <c r="B45">
        <v>645300</v>
      </c>
      <c r="C45">
        <v>537750</v>
      </c>
      <c r="D45">
        <v>107550</v>
      </c>
      <c r="E45" s="1">
        <v>41883</v>
      </c>
      <c r="F45">
        <v>9</v>
      </c>
      <c r="G45" s="2" t="s">
        <v>16</v>
      </c>
      <c r="H45">
        <v>2014</v>
      </c>
      <c r="I45">
        <v>537750</v>
      </c>
      <c r="J45">
        <v>0</v>
      </c>
      <c r="K45">
        <f>(B45 - $U$2) / $U$3</f>
        <v>2.0108918087558822</v>
      </c>
      <c r="L45" t="str">
        <f t="shared" si="0"/>
        <v>Normal</v>
      </c>
      <c r="M45">
        <f>IFERROR((I45-$S$6)/$S$7,0)</f>
        <v>0</v>
      </c>
      <c r="N45" s="2" t="str">
        <f t="shared" si="1"/>
        <v>Normal</v>
      </c>
      <c r="O45" s="2">
        <f t="shared" si="2"/>
        <v>0</v>
      </c>
      <c r="P45" s="2" t="str">
        <f t="shared" si="3"/>
        <v>Normal</v>
      </c>
    </row>
    <row r="46" spans="1:16" x14ac:dyDescent="0.35">
      <c r="A46">
        <v>0</v>
      </c>
      <c r="B46">
        <v>36340</v>
      </c>
      <c r="C46">
        <v>18170</v>
      </c>
      <c r="D46">
        <v>18170</v>
      </c>
      <c r="E46" s="1">
        <v>41974</v>
      </c>
      <c r="F46">
        <v>12</v>
      </c>
      <c r="G46" s="2" t="s">
        <v>12</v>
      </c>
      <c r="H46">
        <v>2014</v>
      </c>
      <c r="I46">
        <v>18170</v>
      </c>
      <c r="J46">
        <v>0</v>
      </c>
      <c r="K46">
        <f>(B46 - $U$2) / $U$3</f>
        <v>-0.56336934121738269</v>
      </c>
      <c r="L46" t="str">
        <f t="shared" si="0"/>
        <v>Normal</v>
      </c>
      <c r="M46">
        <f>IFERROR((I46-$S$6)/$S$7,0)</f>
        <v>0</v>
      </c>
      <c r="N46" s="2" t="str">
        <f t="shared" si="1"/>
        <v>Normal</v>
      </c>
      <c r="O46" s="2">
        <f t="shared" si="2"/>
        <v>0</v>
      </c>
      <c r="P46" s="2" t="str">
        <f t="shared" si="3"/>
        <v>Normal</v>
      </c>
    </row>
    <row r="47" spans="1:16" x14ac:dyDescent="0.35">
      <c r="A47">
        <v>0</v>
      </c>
      <c r="B47">
        <v>962500</v>
      </c>
      <c r="C47">
        <v>715000</v>
      </c>
      <c r="D47">
        <v>247500</v>
      </c>
      <c r="E47" s="1">
        <v>41671</v>
      </c>
      <c r="F47">
        <v>2</v>
      </c>
      <c r="G47" s="2" t="s">
        <v>18</v>
      </c>
      <c r="H47">
        <v>2014</v>
      </c>
      <c r="I47">
        <v>715000</v>
      </c>
      <c r="J47">
        <v>0</v>
      </c>
      <c r="K47">
        <f>(B47 - $U$2) / $U$3</f>
        <v>3.3517937346155771</v>
      </c>
      <c r="L47" t="str">
        <f t="shared" si="0"/>
        <v>Anomaly</v>
      </c>
      <c r="M47">
        <f>IFERROR((I47-$S$6)/$S$7,0)</f>
        <v>0</v>
      </c>
      <c r="N47" s="2" t="str">
        <f t="shared" si="1"/>
        <v>Normal</v>
      </c>
      <c r="O47" s="2">
        <f t="shared" si="2"/>
        <v>0</v>
      </c>
      <c r="P47" s="2" t="str">
        <f t="shared" si="3"/>
        <v>Normal</v>
      </c>
    </row>
    <row r="48" spans="1:16" x14ac:dyDescent="0.35">
      <c r="A48">
        <v>0</v>
      </c>
      <c r="B48">
        <v>23436</v>
      </c>
      <c r="C48">
        <v>5859</v>
      </c>
      <c r="D48">
        <v>17577</v>
      </c>
      <c r="E48" s="1">
        <v>41730</v>
      </c>
      <c r="F48">
        <v>4</v>
      </c>
      <c r="G48" s="2" t="s">
        <v>20</v>
      </c>
      <c r="H48">
        <v>2014</v>
      </c>
      <c r="I48">
        <v>5859</v>
      </c>
      <c r="J48">
        <v>0</v>
      </c>
      <c r="K48">
        <f>(B48 - $U$2) / $U$3</f>
        <v>-0.61791851666282249</v>
      </c>
      <c r="L48" t="str">
        <f t="shared" si="0"/>
        <v>Normal</v>
      </c>
      <c r="M48">
        <f>IFERROR((I48-$S$6)/$S$7,0)</f>
        <v>0</v>
      </c>
      <c r="N48" s="2" t="str">
        <f t="shared" si="1"/>
        <v>Normal</v>
      </c>
      <c r="O48" s="2">
        <f t="shared" si="2"/>
        <v>0</v>
      </c>
      <c r="P48" s="2" t="str">
        <f t="shared" si="3"/>
        <v>Normal</v>
      </c>
    </row>
    <row r="49" spans="1:16" x14ac:dyDescent="0.35">
      <c r="A49">
        <v>0</v>
      </c>
      <c r="B49">
        <v>527437.5</v>
      </c>
      <c r="C49">
        <v>506340</v>
      </c>
      <c r="D49">
        <v>21097.5</v>
      </c>
      <c r="E49" s="1">
        <v>41730</v>
      </c>
      <c r="F49">
        <v>4</v>
      </c>
      <c r="G49" s="2" t="s">
        <v>20</v>
      </c>
      <c r="H49">
        <v>2014</v>
      </c>
      <c r="I49">
        <v>506340</v>
      </c>
      <c r="J49">
        <v>0</v>
      </c>
      <c r="K49">
        <f>(B49 - $U$2) / $U$3</f>
        <v>1.5126507834196961</v>
      </c>
      <c r="L49" t="str">
        <f t="shared" si="0"/>
        <v>Normal</v>
      </c>
      <c r="M49">
        <f>IFERROR((I49-$S$6)/$S$7,0)</f>
        <v>0</v>
      </c>
      <c r="N49" s="2" t="str">
        <f t="shared" si="1"/>
        <v>Normal</v>
      </c>
      <c r="O49" s="2">
        <f t="shared" si="2"/>
        <v>0</v>
      </c>
      <c r="P49" s="2" t="str">
        <f t="shared" si="3"/>
        <v>Normal</v>
      </c>
    </row>
    <row r="50" spans="1:16" x14ac:dyDescent="0.35">
      <c r="A50">
        <v>0</v>
      </c>
      <c r="B50">
        <v>37980</v>
      </c>
      <c r="C50">
        <v>18990</v>
      </c>
      <c r="D50">
        <v>18990</v>
      </c>
      <c r="E50" s="1">
        <v>41791</v>
      </c>
      <c r="F50">
        <v>6</v>
      </c>
      <c r="G50" s="2" t="s">
        <v>11</v>
      </c>
      <c r="H50">
        <v>2014</v>
      </c>
      <c r="I50">
        <v>18990</v>
      </c>
      <c r="J50">
        <v>0</v>
      </c>
      <c r="K50">
        <f>(B50 - $U$2) / $U$3</f>
        <v>-0.55643655698532124</v>
      </c>
      <c r="L50" t="str">
        <f t="shared" si="0"/>
        <v>Normal</v>
      </c>
      <c r="M50">
        <f>IFERROR((I50-$S$6)/$S$7,0)</f>
        <v>0</v>
      </c>
      <c r="N50" s="2" t="str">
        <f t="shared" si="1"/>
        <v>Normal</v>
      </c>
      <c r="O50" s="2">
        <f t="shared" si="2"/>
        <v>0</v>
      </c>
      <c r="P50" s="2" t="str">
        <f t="shared" si="3"/>
        <v>Normal</v>
      </c>
    </row>
    <row r="51" spans="1:16" x14ac:dyDescent="0.35">
      <c r="A51">
        <v>0</v>
      </c>
      <c r="B51">
        <v>11802</v>
      </c>
      <c r="C51">
        <v>8430</v>
      </c>
      <c r="D51">
        <v>3372</v>
      </c>
      <c r="E51" s="1">
        <v>41821</v>
      </c>
      <c r="F51">
        <v>7</v>
      </c>
      <c r="G51" s="2" t="s">
        <v>14</v>
      </c>
      <c r="H51">
        <v>2014</v>
      </c>
      <c r="I51">
        <v>8430</v>
      </c>
      <c r="J51">
        <v>0</v>
      </c>
      <c r="K51">
        <f>(B51 - $U$2) / $U$3</f>
        <v>-0.66709901163587315</v>
      </c>
      <c r="L51" t="str">
        <f t="shared" si="0"/>
        <v>Normal</v>
      </c>
      <c r="M51">
        <f>IFERROR((I51-$S$6)/$S$7,0)</f>
        <v>0</v>
      </c>
      <c r="N51" s="2" t="str">
        <f t="shared" si="1"/>
        <v>Normal</v>
      </c>
      <c r="O51" s="2">
        <f t="shared" si="2"/>
        <v>0</v>
      </c>
      <c r="P51" s="2" t="str">
        <f t="shared" si="3"/>
        <v>Normal</v>
      </c>
    </row>
    <row r="52" spans="1:16" x14ac:dyDescent="0.35">
      <c r="A52">
        <v>0</v>
      </c>
      <c r="B52">
        <v>25692</v>
      </c>
      <c r="C52">
        <v>6423</v>
      </c>
      <c r="D52">
        <v>19269</v>
      </c>
      <c r="E52" s="1">
        <v>41852</v>
      </c>
      <c r="F52">
        <v>8</v>
      </c>
      <c r="G52" s="2" t="s">
        <v>15</v>
      </c>
      <c r="H52">
        <v>2014</v>
      </c>
      <c r="I52">
        <v>6423</v>
      </c>
      <c r="J52">
        <v>0</v>
      </c>
      <c r="K52">
        <f>(B52 - $U$2) / $U$3</f>
        <v>-0.60838171103627936</v>
      </c>
      <c r="L52" t="str">
        <f t="shared" si="0"/>
        <v>Normal</v>
      </c>
      <c r="M52">
        <f>IFERROR((I52-$S$6)/$S$7,0)</f>
        <v>0</v>
      </c>
      <c r="N52" s="2" t="str">
        <f t="shared" si="1"/>
        <v>Normal</v>
      </c>
      <c r="O52" s="2">
        <f t="shared" si="2"/>
        <v>0</v>
      </c>
      <c r="P52" s="2" t="str">
        <f t="shared" si="3"/>
        <v>Normal</v>
      </c>
    </row>
    <row r="53" spans="1:16" x14ac:dyDescent="0.35">
      <c r="A53">
        <v>0</v>
      </c>
      <c r="B53">
        <v>8001</v>
      </c>
      <c r="C53">
        <v>5715</v>
      </c>
      <c r="D53">
        <v>2286</v>
      </c>
      <c r="E53" s="1">
        <v>41913</v>
      </c>
      <c r="F53">
        <v>10</v>
      </c>
      <c r="G53" s="2" t="s">
        <v>17</v>
      </c>
      <c r="H53">
        <v>2014</v>
      </c>
      <c r="I53">
        <v>5715</v>
      </c>
      <c r="J53">
        <v>0</v>
      </c>
      <c r="K53">
        <f>(B53 - $U$2) / $U$3</f>
        <v>-0.68316700728591317</v>
      </c>
      <c r="L53" t="str">
        <f t="shared" si="0"/>
        <v>Normal</v>
      </c>
      <c r="M53">
        <f>IFERROR((I53-$S$6)/$S$7,0)</f>
        <v>0</v>
      </c>
      <c r="N53" s="2" t="str">
        <f t="shared" si="1"/>
        <v>Normal</v>
      </c>
      <c r="O53" s="2">
        <f t="shared" si="2"/>
        <v>0</v>
      </c>
      <c r="P53" s="2" t="str">
        <f t="shared" si="3"/>
        <v>Normal</v>
      </c>
    </row>
    <row r="54" spans="1:16" x14ac:dyDescent="0.35">
      <c r="A54">
        <v>0</v>
      </c>
      <c r="B54">
        <v>9225</v>
      </c>
      <c r="C54">
        <v>6150</v>
      </c>
      <c r="D54">
        <v>3075</v>
      </c>
      <c r="E54" s="1">
        <v>41974</v>
      </c>
      <c r="F54">
        <v>12</v>
      </c>
      <c r="G54" s="2" t="s">
        <v>12</v>
      </c>
      <c r="H54">
        <v>2014</v>
      </c>
      <c r="I54">
        <v>6150</v>
      </c>
      <c r="J54">
        <v>0</v>
      </c>
      <c r="K54">
        <f>(B54 - $U$2) / $U$3</f>
        <v>-0.67799278295661858</v>
      </c>
      <c r="L54" t="str">
        <f t="shared" si="0"/>
        <v>Normal</v>
      </c>
      <c r="M54">
        <f>IFERROR((I54-$S$6)/$S$7,0)</f>
        <v>0</v>
      </c>
      <c r="N54" s="2" t="str">
        <f t="shared" si="1"/>
        <v>Normal</v>
      </c>
      <c r="O54" s="2">
        <f t="shared" si="2"/>
        <v>0</v>
      </c>
      <c r="P54" s="2" t="str">
        <f t="shared" si="3"/>
        <v>Normal</v>
      </c>
    </row>
    <row r="55" spans="1:16" x14ac:dyDescent="0.35">
      <c r="A55">
        <v>276.14999999999998</v>
      </c>
      <c r="B55">
        <v>27338.850000000002</v>
      </c>
      <c r="C55">
        <v>19725</v>
      </c>
      <c r="D55">
        <v>7613.8500000000022</v>
      </c>
      <c r="E55" s="1">
        <v>41640</v>
      </c>
      <c r="F55">
        <v>1</v>
      </c>
      <c r="G55" s="2" t="s">
        <v>10</v>
      </c>
      <c r="H55">
        <v>2014</v>
      </c>
      <c r="I55">
        <v>20001.150000000001</v>
      </c>
      <c r="J55">
        <v>0</v>
      </c>
      <c r="K55">
        <f>(B55 - $U$2) / $U$3</f>
        <v>-0.60141996974812661</v>
      </c>
      <c r="L55" t="str">
        <f t="shared" si="0"/>
        <v>Normal</v>
      </c>
      <c r="M55">
        <f>IFERROR((I55-$S$6)/$S$7,0)</f>
        <v>0</v>
      </c>
      <c r="N55" s="2" t="str">
        <f t="shared" si="1"/>
        <v>Normal</v>
      </c>
      <c r="O55" s="2">
        <f t="shared" si="2"/>
        <v>0</v>
      </c>
      <c r="P55" s="2" t="str">
        <f t="shared" si="3"/>
        <v>Normal</v>
      </c>
    </row>
    <row r="56" spans="1:16" x14ac:dyDescent="0.35">
      <c r="A56">
        <v>344.4</v>
      </c>
      <c r="B56">
        <v>34095.599999999999</v>
      </c>
      <c r="C56">
        <v>22960</v>
      </c>
      <c r="D56">
        <v>11135.599999999999</v>
      </c>
      <c r="E56" s="1">
        <v>41671</v>
      </c>
      <c r="F56">
        <v>2</v>
      </c>
      <c r="G56" s="2" t="s">
        <v>18</v>
      </c>
      <c r="H56">
        <v>2014</v>
      </c>
      <c r="I56">
        <v>23304.400000000001</v>
      </c>
      <c r="J56">
        <v>0</v>
      </c>
      <c r="K56">
        <f>(B56 - $U$2) / $U$3</f>
        <v>-0.57285711007740625</v>
      </c>
      <c r="L56" t="str">
        <f t="shared" si="0"/>
        <v>Normal</v>
      </c>
      <c r="M56">
        <f>IFERROR((I56-$S$6)/$S$7,0)</f>
        <v>0</v>
      </c>
      <c r="N56" s="2" t="str">
        <f t="shared" si="1"/>
        <v>Normal</v>
      </c>
      <c r="O56" s="2">
        <f t="shared" si="2"/>
        <v>0</v>
      </c>
      <c r="P56" s="2" t="str">
        <f t="shared" si="3"/>
        <v>Normal</v>
      </c>
    </row>
    <row r="57" spans="1:16" x14ac:dyDescent="0.35">
      <c r="A57">
        <v>72.099999999999994</v>
      </c>
      <c r="B57">
        <v>7137.9</v>
      </c>
      <c r="C57">
        <v>5150</v>
      </c>
      <c r="D57">
        <v>1987.8999999999996</v>
      </c>
      <c r="E57" s="1">
        <v>41760</v>
      </c>
      <c r="F57">
        <v>5</v>
      </c>
      <c r="G57" s="2" t="s">
        <v>21</v>
      </c>
      <c r="H57">
        <v>2014</v>
      </c>
      <c r="I57">
        <v>5222.1000000000004</v>
      </c>
      <c r="J57">
        <v>0</v>
      </c>
      <c r="K57">
        <f>(B57 - $U$2) / $U$3</f>
        <v>-0.6868155963534085</v>
      </c>
      <c r="L57" t="str">
        <f t="shared" si="0"/>
        <v>Normal</v>
      </c>
      <c r="M57">
        <f>IFERROR((I57-$S$6)/$S$7,0)</f>
        <v>0</v>
      </c>
      <c r="N57" s="2" t="str">
        <f t="shared" si="1"/>
        <v>Normal</v>
      </c>
      <c r="O57" s="2">
        <f t="shared" si="2"/>
        <v>0</v>
      </c>
      <c r="P57" s="2" t="str">
        <f t="shared" si="3"/>
        <v>Normal</v>
      </c>
    </row>
    <row r="58" spans="1:16" x14ac:dyDescent="0.35">
      <c r="A58">
        <v>44.73</v>
      </c>
      <c r="B58">
        <v>4428.2700000000004</v>
      </c>
      <c r="C58">
        <v>3195</v>
      </c>
      <c r="D58">
        <v>1233.2700000000004</v>
      </c>
      <c r="E58" s="1">
        <v>41944</v>
      </c>
      <c r="F58">
        <v>11</v>
      </c>
      <c r="G58" s="2" t="s">
        <v>19</v>
      </c>
      <c r="H58">
        <v>2014</v>
      </c>
      <c r="I58">
        <v>3239.73</v>
      </c>
      <c r="J58">
        <v>0</v>
      </c>
      <c r="K58">
        <f>(B58 - $U$2) / $U$3</f>
        <v>-0.69827003546238464</v>
      </c>
      <c r="L58" t="str">
        <f t="shared" si="0"/>
        <v>Normal</v>
      </c>
      <c r="M58">
        <f>IFERROR((I58-$S$6)/$S$7,0)</f>
        <v>0</v>
      </c>
      <c r="N58" s="2" t="str">
        <f t="shared" si="1"/>
        <v>Normal</v>
      </c>
      <c r="O58" s="2">
        <f t="shared" si="2"/>
        <v>0</v>
      </c>
      <c r="P58" s="2" t="str">
        <f t="shared" si="3"/>
        <v>Normal</v>
      </c>
    </row>
    <row r="59" spans="1:16" x14ac:dyDescent="0.35">
      <c r="A59">
        <v>92.82</v>
      </c>
      <c r="B59">
        <v>9189.18</v>
      </c>
      <c r="C59">
        <v>6630</v>
      </c>
      <c r="D59">
        <v>2559.1800000000003</v>
      </c>
      <c r="E59" s="1">
        <v>41699</v>
      </c>
      <c r="F59">
        <v>3</v>
      </c>
      <c r="G59" s="2" t="s">
        <v>13</v>
      </c>
      <c r="H59">
        <v>2014</v>
      </c>
      <c r="I59">
        <v>6722.82</v>
      </c>
      <c r="J59">
        <v>0</v>
      </c>
      <c r="K59">
        <f>(B59 - $U$2) / $U$3</f>
        <v>-0.67814420510978468</v>
      </c>
      <c r="L59" t="str">
        <f t="shared" si="0"/>
        <v>Normal</v>
      </c>
      <c r="M59">
        <f>IFERROR((I59-$S$6)/$S$7,0)</f>
        <v>0</v>
      </c>
      <c r="N59" s="2" t="str">
        <f t="shared" si="1"/>
        <v>Normal</v>
      </c>
      <c r="O59" s="2">
        <f t="shared" si="2"/>
        <v>0</v>
      </c>
      <c r="P59" s="2" t="str">
        <f t="shared" si="3"/>
        <v>Normal</v>
      </c>
    </row>
    <row r="60" spans="1:16" x14ac:dyDescent="0.35">
      <c r="A60">
        <v>222.96</v>
      </c>
      <c r="B60">
        <v>22073.040000000001</v>
      </c>
      <c r="C60">
        <v>5574</v>
      </c>
      <c r="D60">
        <v>16499.04</v>
      </c>
      <c r="E60" s="1">
        <v>41671</v>
      </c>
      <c r="F60">
        <v>2</v>
      </c>
      <c r="G60" s="2" t="s">
        <v>18</v>
      </c>
      <c r="H60">
        <v>2014</v>
      </c>
      <c r="I60">
        <v>5796.96</v>
      </c>
      <c r="J60">
        <v>0</v>
      </c>
      <c r="K60">
        <f>(B60 - $U$2) / $U$3</f>
        <v>-0.62368016763656053</v>
      </c>
      <c r="L60" t="str">
        <f t="shared" si="0"/>
        <v>Normal</v>
      </c>
      <c r="M60">
        <f>IFERROR((I60-$S$6)/$S$7,0)</f>
        <v>0</v>
      </c>
      <c r="N60" s="2" t="str">
        <f t="shared" si="1"/>
        <v>Normal</v>
      </c>
      <c r="O60" s="2">
        <f t="shared" si="2"/>
        <v>0</v>
      </c>
      <c r="P60" s="2" t="str">
        <f t="shared" si="3"/>
        <v>Normal</v>
      </c>
    </row>
    <row r="61" spans="1:16" x14ac:dyDescent="0.35">
      <c r="A61">
        <v>4235</v>
      </c>
      <c r="B61">
        <v>419265</v>
      </c>
      <c r="C61">
        <v>314600</v>
      </c>
      <c r="D61">
        <v>104665</v>
      </c>
      <c r="E61" s="1">
        <v>41699</v>
      </c>
      <c r="F61">
        <v>3</v>
      </c>
      <c r="G61" s="2" t="s">
        <v>13</v>
      </c>
      <c r="H61">
        <v>2014</v>
      </c>
      <c r="I61">
        <v>318835</v>
      </c>
      <c r="J61">
        <v>0</v>
      </c>
      <c r="K61">
        <f>(B61 - $U$2) / $U$3</f>
        <v>1.0553723673570927</v>
      </c>
      <c r="L61" t="str">
        <f t="shared" si="0"/>
        <v>Normal</v>
      </c>
      <c r="M61">
        <f>IFERROR((I61-$S$6)/$S$7,0)</f>
        <v>0</v>
      </c>
      <c r="N61" s="2" t="str">
        <f t="shared" si="1"/>
        <v>Normal</v>
      </c>
      <c r="O61" s="2">
        <f t="shared" si="2"/>
        <v>0</v>
      </c>
      <c r="P61" s="2" t="str">
        <f t="shared" si="3"/>
        <v>Normal</v>
      </c>
    </row>
    <row r="62" spans="1:16" x14ac:dyDescent="0.35">
      <c r="A62">
        <v>177.03</v>
      </c>
      <c r="B62">
        <v>17525.97</v>
      </c>
      <c r="C62">
        <v>12645</v>
      </c>
      <c r="D62">
        <v>4880.9699999999993</v>
      </c>
      <c r="E62" s="1">
        <v>41821</v>
      </c>
      <c r="F62">
        <v>7</v>
      </c>
      <c r="G62" s="2" t="s">
        <v>14</v>
      </c>
      <c r="H62">
        <v>2014</v>
      </c>
      <c r="I62">
        <v>12822.03</v>
      </c>
      <c r="J62">
        <v>0</v>
      </c>
      <c r="K62">
        <f>(B62 - $U$2) / $U$3</f>
        <v>-0.64290203056221895</v>
      </c>
      <c r="L62" t="str">
        <f t="shared" si="0"/>
        <v>Normal</v>
      </c>
      <c r="M62">
        <f>IFERROR((I62-$S$6)/$S$7,0)</f>
        <v>0</v>
      </c>
      <c r="N62" s="2" t="str">
        <f t="shared" si="1"/>
        <v>Normal</v>
      </c>
      <c r="O62" s="2">
        <f t="shared" si="2"/>
        <v>0</v>
      </c>
      <c r="P62" s="2" t="str">
        <f t="shared" si="3"/>
        <v>Normal</v>
      </c>
    </row>
    <row r="63" spans="1:16" x14ac:dyDescent="0.35">
      <c r="A63">
        <v>173.4</v>
      </c>
      <c r="B63">
        <v>17166.599999999999</v>
      </c>
      <c r="C63">
        <v>4335</v>
      </c>
      <c r="D63">
        <v>12831.599999999999</v>
      </c>
      <c r="E63" s="1">
        <v>41883</v>
      </c>
      <c r="F63">
        <v>9</v>
      </c>
      <c r="G63" s="2" t="s">
        <v>16</v>
      </c>
      <c r="H63">
        <v>2014</v>
      </c>
      <c r="I63">
        <v>4508.3999999999996</v>
      </c>
      <c r="J63">
        <v>0</v>
      </c>
      <c r="K63">
        <f>(B63 - $U$2) / $U$3</f>
        <v>-0.64442119804360676</v>
      </c>
      <c r="L63" t="str">
        <f t="shared" si="0"/>
        <v>Normal</v>
      </c>
      <c r="M63">
        <f>IFERROR((I63-$S$6)/$S$7,0)</f>
        <v>0</v>
      </c>
      <c r="N63" s="2" t="str">
        <f t="shared" si="1"/>
        <v>Normal</v>
      </c>
      <c r="O63" s="2">
        <f t="shared" si="2"/>
        <v>0</v>
      </c>
      <c r="P63" s="2" t="str">
        <f t="shared" si="3"/>
        <v>Normal</v>
      </c>
    </row>
    <row r="64" spans="1:16" x14ac:dyDescent="0.35">
      <c r="A64">
        <v>412.5</v>
      </c>
      <c r="B64">
        <v>40837.5</v>
      </c>
      <c r="C64">
        <v>39600</v>
      </c>
      <c r="D64">
        <v>1237.5</v>
      </c>
      <c r="E64" s="1">
        <v>41518</v>
      </c>
      <c r="F64">
        <v>9</v>
      </c>
      <c r="G64" s="2" t="s">
        <v>16</v>
      </c>
      <c r="H64">
        <v>2013</v>
      </c>
      <c r="I64">
        <v>40012.5</v>
      </c>
      <c r="J64">
        <v>0</v>
      </c>
      <c r="K64">
        <f>(B64 - $U$2) / $U$3</f>
        <v>-0.54435702592244584</v>
      </c>
      <c r="L64" t="str">
        <f t="shared" si="0"/>
        <v>Normal</v>
      </c>
      <c r="M64">
        <f>IFERROR((I64-$S$6)/$S$7,0)</f>
        <v>0</v>
      </c>
      <c r="N64" s="2" t="str">
        <f t="shared" si="1"/>
        <v>Normal</v>
      </c>
      <c r="O64" s="2">
        <f t="shared" si="2"/>
        <v>0</v>
      </c>
      <c r="P64" s="2" t="str">
        <f t="shared" si="3"/>
        <v>Normal</v>
      </c>
    </row>
    <row r="65" spans="1:16" x14ac:dyDescent="0.35">
      <c r="A65">
        <v>320.52</v>
      </c>
      <c r="B65">
        <v>31731.48</v>
      </c>
      <c r="C65">
        <v>8013</v>
      </c>
      <c r="D65">
        <v>23718.48</v>
      </c>
      <c r="E65" s="1">
        <v>41883</v>
      </c>
      <c r="F65">
        <v>9</v>
      </c>
      <c r="G65" s="2" t="s">
        <v>16</v>
      </c>
      <c r="H65">
        <v>2014</v>
      </c>
      <c r="I65">
        <v>8333.52</v>
      </c>
      <c r="J65">
        <v>0</v>
      </c>
      <c r="K65">
        <f>(B65 - $U$2) / $U$3</f>
        <v>-0.58285097218637039</v>
      </c>
      <c r="L65" t="str">
        <f t="shared" si="0"/>
        <v>Normal</v>
      </c>
      <c r="M65">
        <f>IFERROR((I65-$S$6)/$S$7,0)</f>
        <v>0</v>
      </c>
      <c r="N65" s="2" t="str">
        <f t="shared" si="1"/>
        <v>Normal</v>
      </c>
      <c r="O65" s="2">
        <f t="shared" si="2"/>
        <v>0</v>
      </c>
      <c r="P65" s="2" t="str">
        <f t="shared" si="3"/>
        <v>Normal</v>
      </c>
    </row>
    <row r="66" spans="1:16" x14ac:dyDescent="0.35">
      <c r="A66">
        <v>91.92</v>
      </c>
      <c r="B66">
        <v>9100.08</v>
      </c>
      <c r="C66">
        <v>2298</v>
      </c>
      <c r="D66">
        <v>6802.08</v>
      </c>
      <c r="E66" s="1">
        <v>41548</v>
      </c>
      <c r="F66">
        <v>10</v>
      </c>
      <c r="G66" s="2" t="s">
        <v>17</v>
      </c>
      <c r="H66">
        <v>2013</v>
      </c>
      <c r="I66">
        <v>2389.92</v>
      </c>
      <c r="J66">
        <v>0</v>
      </c>
      <c r="K66">
        <f t="shared" ref="K66:K129" si="4">(B66 - $U$2) / $U$3</f>
        <v>-0.67852085820434371</v>
      </c>
      <c r="L66" t="str">
        <f t="shared" ref="L66:L129" si="5">IF(ABS(K66) &gt; 3, "Anomaly", "Normal")</f>
        <v>Normal</v>
      </c>
      <c r="M66">
        <f t="shared" ref="M66:M129" si="6">IFERROR((I66-$S$6)/$S$7,0)</f>
        <v>0</v>
      </c>
      <c r="N66" s="2" t="str">
        <f t="shared" ref="N66:N129" si="7">IF(ABS(M66) &gt; 3, "Anomaly", "Normal")</f>
        <v>Normal</v>
      </c>
      <c r="O66" s="2">
        <f t="shared" ref="O66:O129" si="8">IFERROR((J66-$Q$2)/$Q$3,0)</f>
        <v>0</v>
      </c>
      <c r="P66" s="2" t="str">
        <f t="shared" ref="P66:P129" si="9">IF(ABS(O66)&gt;3,"Anomaly","Normal")</f>
        <v>Normal</v>
      </c>
    </row>
    <row r="67" spans="1:16" x14ac:dyDescent="0.35">
      <c r="A67">
        <v>1482</v>
      </c>
      <c r="B67">
        <v>146718</v>
      </c>
      <c r="C67">
        <v>123500</v>
      </c>
      <c r="D67">
        <v>23218</v>
      </c>
      <c r="E67" s="1">
        <v>41548</v>
      </c>
      <c r="F67">
        <v>10</v>
      </c>
      <c r="G67" s="2" t="s">
        <v>17</v>
      </c>
      <c r="H67">
        <v>2013</v>
      </c>
      <c r="I67">
        <v>124982</v>
      </c>
      <c r="J67">
        <v>0</v>
      </c>
      <c r="K67">
        <f t="shared" si="4"/>
        <v>-9.6767598554894071E-2</v>
      </c>
      <c r="L67" t="str">
        <f t="shared" si="5"/>
        <v>Normal</v>
      </c>
      <c r="M67">
        <f t="shared" si="6"/>
        <v>0</v>
      </c>
      <c r="N67" s="2" t="str">
        <f t="shared" si="7"/>
        <v>Normal</v>
      </c>
      <c r="O67" s="2">
        <f t="shared" si="8"/>
        <v>0</v>
      </c>
      <c r="P67" s="2" t="str">
        <f t="shared" si="9"/>
        <v>Normal</v>
      </c>
    </row>
    <row r="68" spans="1:16" x14ac:dyDescent="0.35">
      <c r="A68">
        <v>4889.5</v>
      </c>
      <c r="B68">
        <v>484060.5</v>
      </c>
      <c r="C68">
        <v>363220</v>
      </c>
      <c r="D68">
        <v>120840.5</v>
      </c>
      <c r="E68" s="1">
        <v>41913</v>
      </c>
      <c r="F68">
        <v>10</v>
      </c>
      <c r="G68" s="2" t="s">
        <v>17</v>
      </c>
      <c r="H68">
        <v>2014</v>
      </c>
      <c r="I68">
        <v>368109.5</v>
      </c>
      <c r="J68">
        <v>0</v>
      </c>
      <c r="K68">
        <f t="shared" si="4"/>
        <v>1.3292828677891286</v>
      </c>
      <c r="L68" t="str">
        <f t="shared" si="5"/>
        <v>Normal</v>
      </c>
      <c r="M68">
        <f t="shared" si="6"/>
        <v>0</v>
      </c>
      <c r="N68" s="2" t="str">
        <f t="shared" si="7"/>
        <v>Normal</v>
      </c>
      <c r="O68" s="2">
        <f t="shared" si="8"/>
        <v>0</v>
      </c>
      <c r="P68" s="2" t="str">
        <f t="shared" si="9"/>
        <v>Normal</v>
      </c>
    </row>
    <row r="69" spans="1:16" x14ac:dyDescent="0.35">
      <c r="A69">
        <v>7542.5</v>
      </c>
      <c r="B69">
        <v>746707.5</v>
      </c>
      <c r="C69">
        <v>560300</v>
      </c>
      <c r="D69">
        <v>186407.5</v>
      </c>
      <c r="E69" s="1">
        <v>41974</v>
      </c>
      <c r="F69">
        <v>12</v>
      </c>
      <c r="G69" s="2" t="s">
        <v>12</v>
      </c>
      <c r="H69">
        <v>2014</v>
      </c>
      <c r="I69">
        <v>567842.5</v>
      </c>
      <c r="J69">
        <v>0</v>
      </c>
      <c r="K69">
        <f t="shared" si="4"/>
        <v>2.4395724898612321</v>
      </c>
      <c r="L69" t="str">
        <f t="shared" si="5"/>
        <v>Normal</v>
      </c>
      <c r="M69">
        <f t="shared" si="6"/>
        <v>0</v>
      </c>
      <c r="N69" s="2" t="str">
        <f t="shared" si="7"/>
        <v>Normal</v>
      </c>
      <c r="O69" s="2">
        <f t="shared" si="8"/>
        <v>0</v>
      </c>
      <c r="P69" s="2" t="str">
        <f t="shared" si="9"/>
        <v>Normal</v>
      </c>
    </row>
    <row r="70" spans="1:16" x14ac:dyDescent="0.35">
      <c r="A70">
        <v>332.1</v>
      </c>
      <c r="B70">
        <v>32877.9</v>
      </c>
      <c r="C70">
        <v>22140</v>
      </c>
      <c r="D70">
        <v>10737.900000000001</v>
      </c>
      <c r="E70" s="1">
        <v>41699</v>
      </c>
      <c r="F70">
        <v>3</v>
      </c>
      <c r="G70" s="2" t="s">
        <v>13</v>
      </c>
      <c r="H70">
        <v>2014</v>
      </c>
      <c r="I70">
        <v>22472.1</v>
      </c>
      <c r="J70">
        <v>0</v>
      </c>
      <c r="K70">
        <f t="shared" si="4"/>
        <v>-0.57800470236971202</v>
      </c>
      <c r="L70" t="str">
        <f t="shared" si="5"/>
        <v>Normal</v>
      </c>
      <c r="M70">
        <f t="shared" si="6"/>
        <v>0</v>
      </c>
      <c r="N70" s="2" t="str">
        <f t="shared" si="7"/>
        <v>Normal</v>
      </c>
      <c r="O70" s="2">
        <f t="shared" si="8"/>
        <v>0</v>
      </c>
      <c r="P70" s="2" t="str">
        <f t="shared" si="9"/>
        <v>Normal</v>
      </c>
    </row>
    <row r="71" spans="1:16" x14ac:dyDescent="0.35">
      <c r="A71">
        <v>6903</v>
      </c>
      <c r="B71">
        <v>683397</v>
      </c>
      <c r="C71">
        <v>575250</v>
      </c>
      <c r="D71">
        <v>108147</v>
      </c>
      <c r="E71" s="1">
        <v>41730</v>
      </c>
      <c r="F71">
        <v>4</v>
      </c>
      <c r="G71" s="2" t="s">
        <v>20</v>
      </c>
      <c r="H71">
        <v>2014</v>
      </c>
      <c r="I71">
        <v>582153</v>
      </c>
      <c r="J71">
        <v>0</v>
      </c>
      <c r="K71">
        <f t="shared" si="4"/>
        <v>2.1719395410051785</v>
      </c>
      <c r="L71" t="str">
        <f t="shared" si="5"/>
        <v>Normal</v>
      </c>
      <c r="M71">
        <f t="shared" si="6"/>
        <v>0</v>
      </c>
      <c r="N71" s="2" t="str">
        <f t="shared" si="7"/>
        <v>Normal</v>
      </c>
      <c r="O71" s="2">
        <f t="shared" si="8"/>
        <v>0</v>
      </c>
      <c r="P71" s="2" t="str">
        <f t="shared" si="9"/>
        <v>Normal</v>
      </c>
    </row>
    <row r="72" spans="1:16" x14ac:dyDescent="0.35">
      <c r="A72">
        <v>275.10000000000002</v>
      </c>
      <c r="B72">
        <v>27234.899999999998</v>
      </c>
      <c r="C72">
        <v>13755</v>
      </c>
      <c r="D72">
        <v>13479.899999999998</v>
      </c>
      <c r="E72" s="1">
        <v>41821</v>
      </c>
      <c r="F72">
        <v>7</v>
      </c>
      <c r="G72" s="2" t="s">
        <v>14</v>
      </c>
      <c r="H72">
        <v>2014</v>
      </c>
      <c r="I72">
        <v>14030.1</v>
      </c>
      <c r="J72">
        <v>0</v>
      </c>
      <c r="K72">
        <f t="shared" si="4"/>
        <v>-0.60185939835844549</v>
      </c>
      <c r="L72" t="str">
        <f t="shared" si="5"/>
        <v>Normal</v>
      </c>
      <c r="M72">
        <f t="shared" si="6"/>
        <v>0</v>
      </c>
      <c r="N72" s="2" t="str">
        <f t="shared" si="7"/>
        <v>Normal</v>
      </c>
      <c r="O72" s="2">
        <f t="shared" si="8"/>
        <v>0</v>
      </c>
      <c r="P72" s="2" t="str">
        <f t="shared" si="9"/>
        <v>Normal</v>
      </c>
    </row>
    <row r="73" spans="1:16" x14ac:dyDescent="0.35">
      <c r="A73">
        <v>128.1</v>
      </c>
      <c r="B73">
        <v>12681.9</v>
      </c>
      <c r="C73">
        <v>9150</v>
      </c>
      <c r="D73">
        <v>3531.8999999999996</v>
      </c>
      <c r="E73" s="1">
        <v>41852</v>
      </c>
      <c r="F73">
        <v>8</v>
      </c>
      <c r="G73" s="2" t="s">
        <v>15</v>
      </c>
      <c r="H73">
        <v>2014</v>
      </c>
      <c r="I73">
        <v>9278.1</v>
      </c>
      <c r="J73">
        <v>0</v>
      </c>
      <c r="K73">
        <f t="shared" si="4"/>
        <v>-0.66337940380307392</v>
      </c>
      <c r="L73" t="str">
        <f t="shared" si="5"/>
        <v>Normal</v>
      </c>
      <c r="M73">
        <f t="shared" si="6"/>
        <v>0</v>
      </c>
      <c r="N73" s="2" t="str">
        <f t="shared" si="7"/>
        <v>Normal</v>
      </c>
      <c r="O73" s="2">
        <f t="shared" si="8"/>
        <v>0</v>
      </c>
      <c r="P73" s="2" t="str">
        <f t="shared" si="9"/>
        <v>Normal</v>
      </c>
    </row>
    <row r="74" spans="1:16" x14ac:dyDescent="0.35">
      <c r="A74">
        <v>7494</v>
      </c>
      <c r="B74">
        <v>741906</v>
      </c>
      <c r="C74">
        <v>624500</v>
      </c>
      <c r="D74">
        <v>117406</v>
      </c>
      <c r="E74" s="1">
        <v>41518</v>
      </c>
      <c r="F74">
        <v>9</v>
      </c>
      <c r="G74" s="2" t="s">
        <v>16</v>
      </c>
      <c r="H74">
        <v>2013</v>
      </c>
      <c r="I74">
        <v>631994</v>
      </c>
      <c r="J74">
        <v>0</v>
      </c>
      <c r="K74">
        <f t="shared" si="4"/>
        <v>2.419275073098889</v>
      </c>
      <c r="L74" t="str">
        <f t="shared" si="5"/>
        <v>Normal</v>
      </c>
      <c r="M74">
        <f t="shared" si="6"/>
        <v>0</v>
      </c>
      <c r="N74" s="2" t="str">
        <f t="shared" si="7"/>
        <v>Normal</v>
      </c>
      <c r="O74" s="2">
        <f t="shared" si="8"/>
        <v>0</v>
      </c>
      <c r="P74" s="2" t="str">
        <f t="shared" si="9"/>
        <v>Normal</v>
      </c>
    </row>
    <row r="75" spans="1:16" x14ac:dyDescent="0.35">
      <c r="A75">
        <v>828.75</v>
      </c>
      <c r="B75">
        <v>82046.25</v>
      </c>
      <c r="C75">
        <v>79560</v>
      </c>
      <c r="D75">
        <v>2486.25</v>
      </c>
      <c r="E75" s="1">
        <v>41548</v>
      </c>
      <c r="F75">
        <v>10</v>
      </c>
      <c r="G75" s="2" t="s">
        <v>17</v>
      </c>
      <c r="H75">
        <v>2013</v>
      </c>
      <c r="I75">
        <v>80388.75</v>
      </c>
      <c r="J75">
        <v>0</v>
      </c>
      <c r="K75">
        <f t="shared" si="4"/>
        <v>-0.37015496968893163</v>
      </c>
      <c r="L75" t="str">
        <f t="shared" si="5"/>
        <v>Normal</v>
      </c>
      <c r="M75">
        <f t="shared" si="6"/>
        <v>0</v>
      </c>
      <c r="N75" s="2" t="str">
        <f t="shared" si="7"/>
        <v>Normal</v>
      </c>
      <c r="O75" s="2">
        <f t="shared" si="8"/>
        <v>0</v>
      </c>
      <c r="P75" s="2" t="str">
        <f t="shared" si="9"/>
        <v>Normal</v>
      </c>
    </row>
    <row r="76" spans="1:16" x14ac:dyDescent="0.35">
      <c r="A76">
        <v>227.1</v>
      </c>
      <c r="B76">
        <v>22482.9</v>
      </c>
      <c r="C76">
        <v>15140</v>
      </c>
      <c r="D76">
        <v>7342.9000000000015</v>
      </c>
      <c r="E76" s="1">
        <v>41671</v>
      </c>
      <c r="F76">
        <v>2</v>
      </c>
      <c r="G76" s="2" t="s">
        <v>18</v>
      </c>
      <c r="H76">
        <v>2014</v>
      </c>
      <c r="I76">
        <v>15367.1</v>
      </c>
      <c r="J76">
        <v>0</v>
      </c>
      <c r="K76">
        <f t="shared" si="4"/>
        <v>-0.62194756340158941</v>
      </c>
      <c r="L76" t="str">
        <f t="shared" si="5"/>
        <v>Normal</v>
      </c>
      <c r="M76">
        <f t="shared" si="6"/>
        <v>0</v>
      </c>
      <c r="N76" s="2" t="str">
        <f t="shared" si="7"/>
        <v>Normal</v>
      </c>
      <c r="O76" s="2">
        <f t="shared" si="8"/>
        <v>0</v>
      </c>
      <c r="P76" s="2" t="str">
        <f t="shared" si="9"/>
        <v>Normal</v>
      </c>
    </row>
    <row r="77" spans="1:16" x14ac:dyDescent="0.35">
      <c r="A77">
        <v>314.47500000000002</v>
      </c>
      <c r="B77">
        <v>31133.024999999998</v>
      </c>
      <c r="C77">
        <v>22462.5</v>
      </c>
      <c r="D77">
        <v>8670.5249999999978</v>
      </c>
      <c r="E77" s="1">
        <v>41730</v>
      </c>
      <c r="F77">
        <v>4</v>
      </c>
      <c r="G77" s="2" t="s">
        <v>20</v>
      </c>
      <c r="H77">
        <v>2014</v>
      </c>
      <c r="I77">
        <v>22776.974999999999</v>
      </c>
      <c r="J77">
        <v>0</v>
      </c>
      <c r="K77">
        <f t="shared" si="4"/>
        <v>-0.5853808254714914</v>
      </c>
      <c r="L77" t="str">
        <f t="shared" si="5"/>
        <v>Normal</v>
      </c>
      <c r="M77">
        <f t="shared" si="6"/>
        <v>0</v>
      </c>
      <c r="N77" s="2" t="str">
        <f t="shared" si="7"/>
        <v>Normal</v>
      </c>
      <c r="O77" s="2">
        <f t="shared" si="8"/>
        <v>0</v>
      </c>
      <c r="P77" s="2" t="str">
        <f t="shared" si="9"/>
        <v>Normal</v>
      </c>
    </row>
    <row r="78" spans="1:16" x14ac:dyDescent="0.35">
      <c r="A78">
        <v>908.75</v>
      </c>
      <c r="B78">
        <v>89966.25</v>
      </c>
      <c r="C78">
        <v>87240</v>
      </c>
      <c r="D78">
        <v>2726.25</v>
      </c>
      <c r="E78" s="1">
        <v>41791</v>
      </c>
      <c r="F78">
        <v>6</v>
      </c>
      <c r="G78" s="2" t="s">
        <v>11</v>
      </c>
      <c r="H78">
        <v>2014</v>
      </c>
      <c r="I78">
        <v>88148.75</v>
      </c>
      <c r="J78">
        <v>0</v>
      </c>
      <c r="K78">
        <f t="shared" si="4"/>
        <v>-0.33667469461702498</v>
      </c>
      <c r="L78" t="str">
        <f t="shared" si="5"/>
        <v>Normal</v>
      </c>
      <c r="M78">
        <f t="shared" si="6"/>
        <v>0</v>
      </c>
      <c r="N78" s="2" t="str">
        <f t="shared" si="7"/>
        <v>Normal</v>
      </c>
      <c r="O78" s="2">
        <f t="shared" si="8"/>
        <v>0</v>
      </c>
      <c r="P78" s="2" t="str">
        <f t="shared" si="9"/>
        <v>Normal</v>
      </c>
    </row>
    <row r="79" spans="1:16" x14ac:dyDescent="0.35">
      <c r="A79">
        <v>983.75</v>
      </c>
      <c r="B79">
        <v>97391.25</v>
      </c>
      <c r="C79">
        <v>94440</v>
      </c>
      <c r="D79">
        <v>2951.25</v>
      </c>
      <c r="E79" s="1">
        <v>41791</v>
      </c>
      <c r="F79">
        <v>6</v>
      </c>
      <c r="G79" s="2" t="s">
        <v>11</v>
      </c>
      <c r="H79">
        <v>2014</v>
      </c>
      <c r="I79">
        <v>95423.75</v>
      </c>
      <c r="J79">
        <v>0</v>
      </c>
      <c r="K79">
        <f t="shared" si="4"/>
        <v>-0.30528693673711255</v>
      </c>
      <c r="L79" t="str">
        <f t="shared" si="5"/>
        <v>Normal</v>
      </c>
      <c r="M79">
        <f t="shared" si="6"/>
        <v>0</v>
      </c>
      <c r="N79" s="2" t="str">
        <f t="shared" si="7"/>
        <v>Normal</v>
      </c>
      <c r="O79" s="2">
        <f t="shared" si="8"/>
        <v>0</v>
      </c>
      <c r="P79" s="2" t="str">
        <f t="shared" si="9"/>
        <v>Normal</v>
      </c>
    </row>
    <row r="80" spans="1:16" x14ac:dyDescent="0.35">
      <c r="A80">
        <v>2278.75</v>
      </c>
      <c r="B80">
        <v>225596.25</v>
      </c>
      <c r="C80">
        <v>218760</v>
      </c>
      <c r="D80">
        <v>6836.25</v>
      </c>
      <c r="E80" s="1">
        <v>41821</v>
      </c>
      <c r="F80">
        <v>7</v>
      </c>
      <c r="G80" s="2" t="s">
        <v>14</v>
      </c>
      <c r="H80">
        <v>2014</v>
      </c>
      <c r="I80">
        <v>221038.75</v>
      </c>
      <c r="J80">
        <v>0</v>
      </c>
      <c r="K80">
        <f t="shared" si="4"/>
        <v>0.23667501598937599</v>
      </c>
      <c r="L80" t="str">
        <f t="shared" si="5"/>
        <v>Normal</v>
      </c>
      <c r="M80">
        <f t="shared" si="6"/>
        <v>0</v>
      </c>
      <c r="N80" s="2" t="str">
        <f t="shared" si="7"/>
        <v>Normal</v>
      </c>
      <c r="O80" s="2">
        <f t="shared" si="8"/>
        <v>0</v>
      </c>
      <c r="P80" s="2" t="str">
        <f t="shared" si="9"/>
        <v>Normal</v>
      </c>
    </row>
    <row r="81" spans="1:16" x14ac:dyDescent="0.35">
      <c r="A81">
        <v>112.05</v>
      </c>
      <c r="B81">
        <v>11092.95</v>
      </c>
      <c r="C81">
        <v>7470</v>
      </c>
      <c r="D81">
        <v>3622.9500000000007</v>
      </c>
      <c r="E81" s="1">
        <v>41883</v>
      </c>
      <c r="F81">
        <v>9</v>
      </c>
      <c r="G81" s="2" t="s">
        <v>16</v>
      </c>
      <c r="H81">
        <v>2014</v>
      </c>
      <c r="I81">
        <v>7582.05</v>
      </c>
      <c r="J81">
        <v>0</v>
      </c>
      <c r="K81">
        <f t="shared" si="4"/>
        <v>-0.6700963839893751</v>
      </c>
      <c r="L81" t="str">
        <f t="shared" si="5"/>
        <v>Normal</v>
      </c>
      <c r="M81">
        <f t="shared" si="6"/>
        <v>0</v>
      </c>
      <c r="N81" s="2" t="str">
        <f t="shared" si="7"/>
        <v>Normal</v>
      </c>
      <c r="O81" s="2">
        <f t="shared" si="8"/>
        <v>0</v>
      </c>
      <c r="P81" s="2" t="str">
        <f t="shared" si="9"/>
        <v>Normal</v>
      </c>
    </row>
    <row r="82" spans="1:16" x14ac:dyDescent="0.35">
      <c r="A82">
        <v>91.92</v>
      </c>
      <c r="B82">
        <v>9100.08</v>
      </c>
      <c r="C82">
        <v>2298</v>
      </c>
      <c r="D82">
        <v>6802.08</v>
      </c>
      <c r="E82" s="1">
        <v>41548</v>
      </c>
      <c r="F82">
        <v>10</v>
      </c>
      <c r="G82" s="2" t="s">
        <v>17</v>
      </c>
      <c r="H82">
        <v>2013</v>
      </c>
      <c r="I82">
        <v>2389.92</v>
      </c>
      <c r="J82">
        <v>0</v>
      </c>
      <c r="K82">
        <f t="shared" si="4"/>
        <v>-0.67852085820434371</v>
      </c>
      <c r="L82" t="str">
        <f t="shared" si="5"/>
        <v>Normal</v>
      </c>
      <c r="M82">
        <f t="shared" si="6"/>
        <v>0</v>
      </c>
      <c r="N82" s="2" t="str">
        <f t="shared" si="7"/>
        <v>Normal</v>
      </c>
      <c r="O82" s="2">
        <f t="shared" si="8"/>
        <v>0</v>
      </c>
      <c r="P82" s="2" t="str">
        <f t="shared" si="9"/>
        <v>Normal</v>
      </c>
    </row>
    <row r="83" spans="1:16" x14ac:dyDescent="0.35">
      <c r="A83">
        <v>8715</v>
      </c>
      <c r="B83">
        <v>862785</v>
      </c>
      <c r="C83">
        <v>726250</v>
      </c>
      <c r="D83">
        <v>136535</v>
      </c>
      <c r="E83" s="1">
        <v>41944</v>
      </c>
      <c r="F83">
        <v>11</v>
      </c>
      <c r="G83" s="2" t="s">
        <v>19</v>
      </c>
      <c r="H83">
        <v>2014</v>
      </c>
      <c r="I83">
        <v>734965</v>
      </c>
      <c r="J83">
        <v>0</v>
      </c>
      <c r="K83">
        <f t="shared" si="4"/>
        <v>2.9302677713838636</v>
      </c>
      <c r="L83" t="str">
        <f t="shared" si="5"/>
        <v>Normal</v>
      </c>
      <c r="M83">
        <f t="shared" si="6"/>
        <v>0</v>
      </c>
      <c r="N83" s="2" t="str">
        <f t="shared" si="7"/>
        <v>Normal</v>
      </c>
      <c r="O83" s="2">
        <f t="shared" si="8"/>
        <v>0</v>
      </c>
      <c r="P83" s="2" t="str">
        <f t="shared" si="9"/>
        <v>Normal</v>
      </c>
    </row>
    <row r="84" spans="1:16" x14ac:dyDescent="0.35">
      <c r="A84">
        <v>7542.5</v>
      </c>
      <c r="B84">
        <v>746707.5</v>
      </c>
      <c r="C84">
        <v>560300</v>
      </c>
      <c r="D84">
        <v>186407.5</v>
      </c>
      <c r="E84" s="1">
        <v>41974</v>
      </c>
      <c r="F84">
        <v>12</v>
      </c>
      <c r="G84" s="2" t="s">
        <v>12</v>
      </c>
      <c r="H84">
        <v>2014</v>
      </c>
      <c r="I84">
        <v>567842.5</v>
      </c>
      <c r="J84">
        <v>0</v>
      </c>
      <c r="K84">
        <f t="shared" si="4"/>
        <v>2.4395724898612321</v>
      </c>
      <c r="L84" t="str">
        <f t="shared" si="5"/>
        <v>Normal</v>
      </c>
      <c r="M84">
        <f t="shared" si="6"/>
        <v>0</v>
      </c>
      <c r="N84" s="2" t="str">
        <f t="shared" si="7"/>
        <v>Normal</v>
      </c>
      <c r="O84" s="2">
        <f t="shared" si="8"/>
        <v>0</v>
      </c>
      <c r="P84" s="2" t="str">
        <f t="shared" si="9"/>
        <v>Normal</v>
      </c>
    </row>
    <row r="85" spans="1:16" x14ac:dyDescent="0.35">
      <c r="A85">
        <v>772.80000000000007</v>
      </c>
      <c r="B85">
        <v>76507.200000000012</v>
      </c>
      <c r="C85">
        <v>38640</v>
      </c>
      <c r="D85">
        <v>37867.200000000004</v>
      </c>
      <c r="E85" s="1">
        <v>41730</v>
      </c>
      <c r="F85">
        <v>4</v>
      </c>
      <c r="G85" s="2" t="s">
        <v>20</v>
      </c>
      <c r="H85">
        <v>2014</v>
      </c>
      <c r="I85">
        <v>39412.800000000003</v>
      </c>
      <c r="J85">
        <v>0</v>
      </c>
      <c r="K85">
        <f t="shared" si="4"/>
        <v>-0.39357023706734628</v>
      </c>
      <c r="L85" t="str">
        <f t="shared" si="5"/>
        <v>Normal</v>
      </c>
      <c r="M85">
        <f t="shared" si="6"/>
        <v>0</v>
      </c>
      <c r="N85" s="2" t="str">
        <f t="shared" si="7"/>
        <v>Normal</v>
      </c>
      <c r="O85" s="2">
        <f t="shared" si="8"/>
        <v>0</v>
      </c>
      <c r="P85" s="2" t="str">
        <f t="shared" si="9"/>
        <v>Normal</v>
      </c>
    </row>
    <row r="86" spans="1:16" x14ac:dyDescent="0.35">
      <c r="A86">
        <v>25.34</v>
      </c>
      <c r="B86">
        <v>2508.66</v>
      </c>
      <c r="C86">
        <v>1810</v>
      </c>
      <c r="D86">
        <v>698.65999999999985</v>
      </c>
      <c r="E86" s="1">
        <v>41760</v>
      </c>
      <c r="F86">
        <v>5</v>
      </c>
      <c r="G86" s="2" t="s">
        <v>21</v>
      </c>
      <c r="H86">
        <v>2014</v>
      </c>
      <c r="I86">
        <v>1835.34</v>
      </c>
      <c r="J86">
        <v>0</v>
      </c>
      <c r="K86">
        <f t="shared" si="4"/>
        <v>-0.70638481713293788</v>
      </c>
      <c r="L86" t="str">
        <f t="shared" si="5"/>
        <v>Normal</v>
      </c>
      <c r="M86">
        <f t="shared" si="6"/>
        <v>0</v>
      </c>
      <c r="N86" s="2" t="str">
        <f t="shared" si="7"/>
        <v>Normal</v>
      </c>
      <c r="O86" s="2">
        <f t="shared" si="8"/>
        <v>0</v>
      </c>
      <c r="P86" s="2" t="str">
        <f t="shared" si="9"/>
        <v>Normal</v>
      </c>
    </row>
    <row r="87" spans="1:16" x14ac:dyDescent="0.35">
      <c r="A87">
        <v>1153.75</v>
      </c>
      <c r="B87">
        <v>114221.25</v>
      </c>
      <c r="C87">
        <v>110760</v>
      </c>
      <c r="D87">
        <v>3461.25</v>
      </c>
      <c r="E87" s="1">
        <v>41852</v>
      </c>
      <c r="F87">
        <v>8</v>
      </c>
      <c r="G87" s="2" t="s">
        <v>15</v>
      </c>
      <c r="H87">
        <v>2014</v>
      </c>
      <c r="I87">
        <v>111913.75</v>
      </c>
      <c r="J87">
        <v>0</v>
      </c>
      <c r="K87">
        <f t="shared" si="4"/>
        <v>-0.23414135220931095</v>
      </c>
      <c r="L87" t="str">
        <f t="shared" si="5"/>
        <v>Normal</v>
      </c>
      <c r="M87">
        <f t="shared" si="6"/>
        <v>0</v>
      </c>
      <c r="N87" s="2" t="str">
        <f t="shared" si="7"/>
        <v>Normal</v>
      </c>
      <c r="O87" s="2">
        <f t="shared" si="8"/>
        <v>0</v>
      </c>
      <c r="P87" s="2" t="str">
        <f t="shared" si="9"/>
        <v>Normal</v>
      </c>
    </row>
    <row r="88" spans="1:16" x14ac:dyDescent="0.35">
      <c r="A88">
        <v>828.75</v>
      </c>
      <c r="B88">
        <v>82046.25</v>
      </c>
      <c r="C88">
        <v>79560</v>
      </c>
      <c r="D88">
        <v>2486.25</v>
      </c>
      <c r="E88" s="1">
        <v>41548</v>
      </c>
      <c r="F88">
        <v>10</v>
      </c>
      <c r="G88" s="2" t="s">
        <v>17</v>
      </c>
      <c r="H88">
        <v>2013</v>
      </c>
      <c r="I88">
        <v>80388.75</v>
      </c>
      <c r="J88">
        <v>0</v>
      </c>
      <c r="K88">
        <f t="shared" si="4"/>
        <v>-0.37015496968893163</v>
      </c>
      <c r="L88" t="str">
        <f t="shared" si="5"/>
        <v>Normal</v>
      </c>
      <c r="M88">
        <f t="shared" si="6"/>
        <v>0</v>
      </c>
      <c r="N88" s="2" t="str">
        <f t="shared" si="7"/>
        <v>Normal</v>
      </c>
      <c r="O88" s="2">
        <f t="shared" si="8"/>
        <v>0</v>
      </c>
      <c r="P88" s="2" t="str">
        <f t="shared" si="9"/>
        <v>Normal</v>
      </c>
    </row>
    <row r="89" spans="1:16" x14ac:dyDescent="0.35">
      <c r="A89">
        <v>146.44</v>
      </c>
      <c r="B89">
        <v>14497.56</v>
      </c>
      <c r="C89">
        <v>10460</v>
      </c>
      <c r="D89">
        <v>4037.5599999999995</v>
      </c>
      <c r="E89" s="1">
        <v>41579</v>
      </c>
      <c r="F89">
        <v>11</v>
      </c>
      <c r="G89" s="2" t="s">
        <v>19</v>
      </c>
      <c r="H89">
        <v>2013</v>
      </c>
      <c r="I89">
        <v>10606.44</v>
      </c>
      <c r="J89">
        <v>0</v>
      </c>
      <c r="K89">
        <f t="shared" si="4"/>
        <v>-0.65570405074283933</v>
      </c>
      <c r="L89" t="str">
        <f t="shared" si="5"/>
        <v>Normal</v>
      </c>
      <c r="M89">
        <f t="shared" si="6"/>
        <v>0</v>
      </c>
      <c r="N89" s="2" t="str">
        <f t="shared" si="7"/>
        <v>Normal</v>
      </c>
      <c r="O89" s="2">
        <f t="shared" si="8"/>
        <v>0</v>
      </c>
      <c r="P89" s="2" t="str">
        <f t="shared" si="9"/>
        <v>Normal</v>
      </c>
    </row>
    <row r="90" spans="1:16" x14ac:dyDescent="0.35">
      <c r="A90">
        <v>18.41</v>
      </c>
      <c r="B90">
        <v>1822.59</v>
      </c>
      <c r="C90">
        <v>1315</v>
      </c>
      <c r="D90">
        <v>507.58999999999992</v>
      </c>
      <c r="E90" s="1">
        <v>41699</v>
      </c>
      <c r="F90">
        <v>3</v>
      </c>
      <c r="G90" s="2" t="s">
        <v>13</v>
      </c>
      <c r="H90">
        <v>2014</v>
      </c>
      <c r="I90">
        <v>1333.41</v>
      </c>
      <c r="J90">
        <v>0</v>
      </c>
      <c r="K90">
        <f t="shared" si="4"/>
        <v>-0.7092850459610418</v>
      </c>
      <c r="L90" t="str">
        <f t="shared" si="5"/>
        <v>Normal</v>
      </c>
      <c r="M90">
        <f t="shared" si="6"/>
        <v>0</v>
      </c>
      <c r="N90" s="2" t="str">
        <f t="shared" si="7"/>
        <v>Normal</v>
      </c>
      <c r="O90" s="2">
        <f t="shared" si="8"/>
        <v>0</v>
      </c>
      <c r="P90" s="2" t="str">
        <f t="shared" si="9"/>
        <v>Normal</v>
      </c>
    </row>
    <row r="91" spans="1:16" x14ac:dyDescent="0.35">
      <c r="A91">
        <v>3302.25</v>
      </c>
      <c r="B91">
        <v>326922.75</v>
      </c>
      <c r="C91">
        <v>245310</v>
      </c>
      <c r="D91">
        <v>81612.75</v>
      </c>
      <c r="E91" s="1">
        <v>41730</v>
      </c>
      <c r="F91">
        <v>4</v>
      </c>
      <c r="G91" s="2" t="s">
        <v>20</v>
      </c>
      <c r="H91">
        <v>2014</v>
      </c>
      <c r="I91">
        <v>248612.25</v>
      </c>
      <c r="J91">
        <v>0</v>
      </c>
      <c r="K91">
        <f t="shared" si="4"/>
        <v>0.66501328519058145</v>
      </c>
      <c r="L91" t="str">
        <f t="shared" si="5"/>
        <v>Normal</v>
      </c>
      <c r="M91">
        <f t="shared" si="6"/>
        <v>0</v>
      </c>
      <c r="N91" s="2" t="str">
        <f t="shared" si="7"/>
        <v>Normal</v>
      </c>
      <c r="O91" s="2">
        <f t="shared" si="8"/>
        <v>0</v>
      </c>
      <c r="P91" s="2" t="str">
        <f t="shared" si="9"/>
        <v>Normal</v>
      </c>
    </row>
    <row r="92" spans="1:16" x14ac:dyDescent="0.35">
      <c r="A92">
        <v>908.75</v>
      </c>
      <c r="B92">
        <v>89966.25</v>
      </c>
      <c r="C92">
        <v>87240</v>
      </c>
      <c r="D92">
        <v>2726.25</v>
      </c>
      <c r="E92" s="1">
        <v>41791</v>
      </c>
      <c r="F92">
        <v>6</v>
      </c>
      <c r="G92" s="2" t="s">
        <v>11</v>
      </c>
      <c r="H92">
        <v>2014</v>
      </c>
      <c r="I92">
        <v>88148.75</v>
      </c>
      <c r="J92">
        <v>0</v>
      </c>
      <c r="K92">
        <f t="shared" si="4"/>
        <v>-0.33667469461702498</v>
      </c>
      <c r="L92" t="str">
        <f t="shared" si="5"/>
        <v>Normal</v>
      </c>
      <c r="M92">
        <f t="shared" si="6"/>
        <v>0</v>
      </c>
      <c r="N92" s="2" t="str">
        <f t="shared" si="7"/>
        <v>Normal</v>
      </c>
      <c r="O92" s="2">
        <f t="shared" si="8"/>
        <v>0</v>
      </c>
      <c r="P92" s="2" t="str">
        <f t="shared" si="9"/>
        <v>Normal</v>
      </c>
    </row>
    <row r="93" spans="1:16" x14ac:dyDescent="0.35">
      <c r="A93">
        <v>983.75</v>
      </c>
      <c r="B93">
        <v>97391.25</v>
      </c>
      <c r="C93">
        <v>94440</v>
      </c>
      <c r="D93">
        <v>2951.25</v>
      </c>
      <c r="E93" s="1">
        <v>41791</v>
      </c>
      <c r="F93">
        <v>6</v>
      </c>
      <c r="G93" s="2" t="s">
        <v>11</v>
      </c>
      <c r="H93">
        <v>2014</v>
      </c>
      <c r="I93">
        <v>95423.75</v>
      </c>
      <c r="J93">
        <v>0</v>
      </c>
      <c r="K93">
        <f t="shared" si="4"/>
        <v>-0.30528693673711255</v>
      </c>
      <c r="L93" t="str">
        <f t="shared" si="5"/>
        <v>Normal</v>
      </c>
      <c r="M93">
        <f t="shared" si="6"/>
        <v>0</v>
      </c>
      <c r="N93" s="2" t="str">
        <f t="shared" si="7"/>
        <v>Normal</v>
      </c>
      <c r="O93" s="2">
        <f t="shared" si="8"/>
        <v>0</v>
      </c>
      <c r="P93" s="2" t="str">
        <f t="shared" si="9"/>
        <v>Normal</v>
      </c>
    </row>
    <row r="94" spans="1:16" x14ac:dyDescent="0.35">
      <c r="A94">
        <v>2958</v>
      </c>
      <c r="B94">
        <v>292842</v>
      </c>
      <c r="C94">
        <v>246500</v>
      </c>
      <c r="D94">
        <v>46342</v>
      </c>
      <c r="E94" s="1">
        <v>41883</v>
      </c>
      <c r="F94">
        <v>9</v>
      </c>
      <c r="G94" s="2" t="s">
        <v>16</v>
      </c>
      <c r="H94">
        <v>2014</v>
      </c>
      <c r="I94">
        <v>249458</v>
      </c>
      <c r="J94">
        <v>0</v>
      </c>
      <c r="K94">
        <f t="shared" si="4"/>
        <v>0.52094347652178319</v>
      </c>
      <c r="L94" t="str">
        <f t="shared" si="5"/>
        <v>Normal</v>
      </c>
      <c r="M94">
        <f t="shared" si="6"/>
        <v>0</v>
      </c>
      <c r="N94" s="2" t="str">
        <f t="shared" si="7"/>
        <v>Normal</v>
      </c>
      <c r="O94" s="2">
        <f t="shared" si="8"/>
        <v>0</v>
      </c>
      <c r="P94" s="2" t="str">
        <f t="shared" si="9"/>
        <v>Normal</v>
      </c>
    </row>
    <row r="95" spans="1:16" x14ac:dyDescent="0.35">
      <c r="A95">
        <v>1482</v>
      </c>
      <c r="B95">
        <v>146718</v>
      </c>
      <c r="C95">
        <v>123500</v>
      </c>
      <c r="D95">
        <v>23218</v>
      </c>
      <c r="E95" s="1">
        <v>41548</v>
      </c>
      <c r="F95">
        <v>10</v>
      </c>
      <c r="G95" s="2" t="s">
        <v>17</v>
      </c>
      <c r="H95">
        <v>2013</v>
      </c>
      <c r="I95">
        <v>124982</v>
      </c>
      <c r="J95">
        <v>0</v>
      </c>
      <c r="K95">
        <f t="shared" si="4"/>
        <v>-9.6767598554894071E-2</v>
      </c>
      <c r="L95" t="str">
        <f t="shared" si="5"/>
        <v>Normal</v>
      </c>
      <c r="M95">
        <f t="shared" si="6"/>
        <v>0</v>
      </c>
      <c r="N95" s="2" t="str">
        <f t="shared" si="7"/>
        <v>Normal</v>
      </c>
      <c r="O95" s="2">
        <f t="shared" si="8"/>
        <v>0</v>
      </c>
      <c r="P95" s="2" t="str">
        <f t="shared" si="9"/>
        <v>Normal</v>
      </c>
    </row>
    <row r="96" spans="1:16" x14ac:dyDescent="0.35">
      <c r="A96">
        <v>4889.5</v>
      </c>
      <c r="B96">
        <v>484060.5</v>
      </c>
      <c r="C96">
        <v>363220</v>
      </c>
      <c r="D96">
        <v>120840.5</v>
      </c>
      <c r="E96" s="1">
        <v>41913</v>
      </c>
      <c r="F96">
        <v>10</v>
      </c>
      <c r="G96" s="2" t="s">
        <v>17</v>
      </c>
      <c r="H96">
        <v>2014</v>
      </c>
      <c r="I96">
        <v>368109.5</v>
      </c>
      <c r="J96">
        <v>0</v>
      </c>
      <c r="K96">
        <f t="shared" si="4"/>
        <v>1.3292828677891286</v>
      </c>
      <c r="L96" t="str">
        <f t="shared" si="5"/>
        <v>Normal</v>
      </c>
      <c r="M96">
        <f t="shared" si="6"/>
        <v>0</v>
      </c>
      <c r="N96" s="2" t="str">
        <f t="shared" si="7"/>
        <v>Normal</v>
      </c>
      <c r="O96" s="2">
        <f t="shared" si="8"/>
        <v>0</v>
      </c>
      <c r="P96" s="2" t="str">
        <f t="shared" si="9"/>
        <v>Normal</v>
      </c>
    </row>
    <row r="97" spans="1:16" x14ac:dyDescent="0.35">
      <c r="A97">
        <v>2180</v>
      </c>
      <c r="B97">
        <v>215820</v>
      </c>
      <c r="C97">
        <v>209280</v>
      </c>
      <c r="D97">
        <v>6540</v>
      </c>
      <c r="E97" s="1">
        <v>41944</v>
      </c>
      <c r="F97">
        <v>11</v>
      </c>
      <c r="G97" s="2" t="s">
        <v>19</v>
      </c>
      <c r="H97">
        <v>2014</v>
      </c>
      <c r="I97">
        <v>211460</v>
      </c>
      <c r="J97">
        <v>0</v>
      </c>
      <c r="K97">
        <f t="shared" si="4"/>
        <v>0.19534780144749125</v>
      </c>
      <c r="L97" t="str">
        <f t="shared" si="5"/>
        <v>Normal</v>
      </c>
      <c r="M97">
        <f t="shared" si="6"/>
        <v>0</v>
      </c>
      <c r="N97" s="2" t="str">
        <f t="shared" si="7"/>
        <v>Normal</v>
      </c>
      <c r="O97" s="2">
        <f t="shared" si="8"/>
        <v>0</v>
      </c>
      <c r="P97" s="2" t="str">
        <f t="shared" si="9"/>
        <v>Normal</v>
      </c>
    </row>
    <row r="98" spans="1:16" x14ac:dyDescent="0.35">
      <c r="A98">
        <v>238.68</v>
      </c>
      <c r="B98">
        <v>23629.32</v>
      </c>
      <c r="C98">
        <v>5967</v>
      </c>
      <c r="D98">
        <v>17662.32</v>
      </c>
      <c r="E98" s="1">
        <v>41518</v>
      </c>
      <c r="F98">
        <v>9</v>
      </c>
      <c r="G98" s="2" t="s">
        <v>16</v>
      </c>
      <c r="H98">
        <v>2013</v>
      </c>
      <c r="I98">
        <v>6205.68</v>
      </c>
      <c r="J98">
        <v>0</v>
      </c>
      <c r="K98">
        <f t="shared" si="4"/>
        <v>-0.61710129358493093</v>
      </c>
      <c r="L98" t="str">
        <f t="shared" si="5"/>
        <v>Normal</v>
      </c>
      <c r="M98">
        <f t="shared" si="6"/>
        <v>0</v>
      </c>
      <c r="N98" s="2" t="str">
        <f t="shared" si="7"/>
        <v>Normal</v>
      </c>
      <c r="O98" s="2">
        <f t="shared" si="8"/>
        <v>0</v>
      </c>
      <c r="P98" s="2" t="str">
        <f t="shared" si="9"/>
        <v>Normal</v>
      </c>
    </row>
    <row r="99" spans="1:16" x14ac:dyDescent="0.35">
      <c r="A99">
        <v>48.15</v>
      </c>
      <c r="B99">
        <v>4766.8500000000004</v>
      </c>
      <c r="C99">
        <v>3210</v>
      </c>
      <c r="D99">
        <v>1556.8500000000004</v>
      </c>
      <c r="E99" s="1">
        <v>41579</v>
      </c>
      <c r="F99">
        <v>11</v>
      </c>
      <c r="G99" s="2" t="s">
        <v>19</v>
      </c>
      <c r="H99">
        <v>2013</v>
      </c>
      <c r="I99">
        <v>3258.15</v>
      </c>
      <c r="J99">
        <v>0</v>
      </c>
      <c r="K99">
        <f t="shared" si="4"/>
        <v>-0.69683875370306048</v>
      </c>
      <c r="L99" t="str">
        <f t="shared" si="5"/>
        <v>Normal</v>
      </c>
      <c r="M99">
        <f t="shared" si="6"/>
        <v>0</v>
      </c>
      <c r="N99" s="2" t="str">
        <f t="shared" si="7"/>
        <v>Normal</v>
      </c>
      <c r="O99" s="2">
        <f t="shared" si="8"/>
        <v>0</v>
      </c>
      <c r="P99" s="2" t="str">
        <f t="shared" si="9"/>
        <v>Normal</v>
      </c>
    </row>
    <row r="100" spans="1:16" x14ac:dyDescent="0.35">
      <c r="A100">
        <v>1856.25</v>
      </c>
      <c r="B100">
        <v>90956.25</v>
      </c>
      <c r="C100">
        <v>89100</v>
      </c>
      <c r="D100">
        <v>1856.25</v>
      </c>
      <c r="E100" s="1">
        <v>41730</v>
      </c>
      <c r="F100">
        <v>4</v>
      </c>
      <c r="G100" s="2" t="s">
        <v>20</v>
      </c>
      <c r="H100">
        <v>2014</v>
      </c>
      <c r="I100">
        <v>90956.25</v>
      </c>
      <c r="J100">
        <v>0</v>
      </c>
      <c r="K100">
        <f t="shared" si="4"/>
        <v>-0.33248966023303667</v>
      </c>
      <c r="L100" t="str">
        <f t="shared" si="5"/>
        <v>Normal</v>
      </c>
      <c r="M100">
        <f t="shared" si="6"/>
        <v>0</v>
      </c>
      <c r="N100" s="2" t="str">
        <f t="shared" si="7"/>
        <v>Normal</v>
      </c>
      <c r="O100" s="2">
        <f t="shared" si="8"/>
        <v>0</v>
      </c>
      <c r="P100" s="2" t="str">
        <f t="shared" si="9"/>
        <v>Normal</v>
      </c>
    </row>
    <row r="101" spans="1:16" x14ac:dyDescent="0.35">
      <c r="A101">
        <v>310.8</v>
      </c>
      <c r="B101">
        <v>15229.2</v>
      </c>
      <c r="C101">
        <v>3885</v>
      </c>
      <c r="D101">
        <v>11344.2</v>
      </c>
      <c r="E101" s="1">
        <v>41913</v>
      </c>
      <c r="F101">
        <v>10</v>
      </c>
      <c r="G101" s="2" t="s">
        <v>17</v>
      </c>
      <c r="H101">
        <v>2014</v>
      </c>
      <c r="I101">
        <v>4195.8</v>
      </c>
      <c r="J101">
        <v>0</v>
      </c>
      <c r="K101">
        <f t="shared" si="4"/>
        <v>-0.65261118351384806</v>
      </c>
      <c r="L101" t="str">
        <f t="shared" si="5"/>
        <v>Normal</v>
      </c>
      <c r="M101">
        <f t="shared" si="6"/>
        <v>0</v>
      </c>
      <c r="N101" s="2" t="str">
        <f t="shared" si="7"/>
        <v>Normal</v>
      </c>
      <c r="O101" s="2">
        <f t="shared" si="8"/>
        <v>0</v>
      </c>
      <c r="P101" s="2" t="str">
        <f t="shared" si="9"/>
        <v>Normal</v>
      </c>
    </row>
    <row r="102" spans="1:16" x14ac:dyDescent="0.35">
      <c r="A102">
        <v>1284</v>
      </c>
      <c r="B102">
        <v>62916</v>
      </c>
      <c r="C102">
        <v>53500</v>
      </c>
      <c r="D102">
        <v>9416</v>
      </c>
      <c r="E102" s="1">
        <v>41548</v>
      </c>
      <c r="F102">
        <v>10</v>
      </c>
      <c r="G102" s="2" t="s">
        <v>17</v>
      </c>
      <c r="H102">
        <v>2013</v>
      </c>
      <c r="I102">
        <v>54784</v>
      </c>
      <c r="J102">
        <v>0</v>
      </c>
      <c r="K102">
        <f t="shared" si="4"/>
        <v>-0.45102441819831823</v>
      </c>
      <c r="L102" t="str">
        <f t="shared" si="5"/>
        <v>Normal</v>
      </c>
      <c r="M102">
        <f t="shared" si="6"/>
        <v>0</v>
      </c>
      <c r="N102" s="2" t="str">
        <f t="shared" si="7"/>
        <v>Normal</v>
      </c>
      <c r="O102" s="2">
        <f t="shared" si="8"/>
        <v>0</v>
      </c>
      <c r="P102" s="2" t="str">
        <f t="shared" si="9"/>
        <v>Normal</v>
      </c>
    </row>
    <row r="103" spans="1:16" x14ac:dyDescent="0.35">
      <c r="A103">
        <v>300.3</v>
      </c>
      <c r="B103">
        <v>14714.7</v>
      </c>
      <c r="C103">
        <v>10725</v>
      </c>
      <c r="D103">
        <v>3989.7000000000007</v>
      </c>
      <c r="E103" s="1">
        <v>41579</v>
      </c>
      <c r="F103">
        <v>11</v>
      </c>
      <c r="G103" s="2" t="s">
        <v>19</v>
      </c>
      <c r="H103">
        <v>2013</v>
      </c>
      <c r="I103">
        <v>11025.3</v>
      </c>
      <c r="J103">
        <v>0</v>
      </c>
      <c r="K103">
        <f t="shared" si="4"/>
        <v>-0.65478613320128443</v>
      </c>
      <c r="L103" t="str">
        <f t="shared" si="5"/>
        <v>Normal</v>
      </c>
      <c r="M103">
        <f t="shared" si="6"/>
        <v>0</v>
      </c>
      <c r="N103" s="2" t="str">
        <f t="shared" si="7"/>
        <v>Normal</v>
      </c>
      <c r="O103" s="2">
        <f t="shared" si="8"/>
        <v>0</v>
      </c>
      <c r="P103" s="2" t="str">
        <f t="shared" si="9"/>
        <v>Normal</v>
      </c>
    </row>
    <row r="104" spans="1:16" x14ac:dyDescent="0.35">
      <c r="A104">
        <v>19964</v>
      </c>
      <c r="B104">
        <v>978236</v>
      </c>
      <c r="C104">
        <v>741520</v>
      </c>
      <c r="D104">
        <v>236716</v>
      </c>
      <c r="E104" s="1">
        <v>41974</v>
      </c>
      <c r="F104">
        <v>12</v>
      </c>
      <c r="G104" s="2" t="s">
        <v>12</v>
      </c>
      <c r="H104">
        <v>2014</v>
      </c>
      <c r="I104">
        <v>761484</v>
      </c>
      <c r="J104">
        <v>0</v>
      </c>
      <c r="K104">
        <f t="shared" si="4"/>
        <v>3.4183146447836985</v>
      </c>
      <c r="L104" t="str">
        <f t="shared" si="5"/>
        <v>Anomaly</v>
      </c>
      <c r="M104">
        <f t="shared" si="6"/>
        <v>0</v>
      </c>
      <c r="N104" s="2" t="str">
        <f t="shared" si="7"/>
        <v>Normal</v>
      </c>
      <c r="O104" s="2">
        <f t="shared" si="8"/>
        <v>0</v>
      </c>
      <c r="P104" s="2" t="str">
        <f t="shared" si="9"/>
        <v>Normal</v>
      </c>
    </row>
    <row r="105" spans="1:16" x14ac:dyDescent="0.35">
      <c r="A105">
        <v>274.08</v>
      </c>
      <c r="B105">
        <v>13429.92</v>
      </c>
      <c r="C105">
        <v>3426</v>
      </c>
      <c r="D105">
        <v>10003.92</v>
      </c>
      <c r="E105" s="1">
        <v>41791</v>
      </c>
      <c r="F105">
        <v>6</v>
      </c>
      <c r="G105" s="2" t="s">
        <v>11</v>
      </c>
      <c r="H105">
        <v>2014</v>
      </c>
      <c r="I105">
        <v>3700.08</v>
      </c>
      <c r="J105">
        <v>0</v>
      </c>
      <c r="K105">
        <f t="shared" si="4"/>
        <v>-0.66021729327791123</v>
      </c>
      <c r="L105" t="str">
        <f t="shared" si="5"/>
        <v>Normal</v>
      </c>
      <c r="M105">
        <f t="shared" si="6"/>
        <v>0</v>
      </c>
      <c r="N105" s="2" t="str">
        <f t="shared" si="7"/>
        <v>Normal</v>
      </c>
      <c r="O105" s="2">
        <f t="shared" si="8"/>
        <v>0</v>
      </c>
      <c r="P105" s="2" t="str">
        <f t="shared" si="9"/>
        <v>Normal</v>
      </c>
    </row>
    <row r="106" spans="1:16" x14ac:dyDescent="0.35">
      <c r="A106">
        <v>626.4</v>
      </c>
      <c r="B106">
        <v>30693.599999999999</v>
      </c>
      <c r="C106">
        <v>15660</v>
      </c>
      <c r="D106">
        <v>15033.599999999999</v>
      </c>
      <c r="E106" s="1">
        <v>41913</v>
      </c>
      <c r="F106">
        <v>10</v>
      </c>
      <c r="G106" s="2" t="s">
        <v>17</v>
      </c>
      <c r="H106">
        <v>2014</v>
      </c>
      <c r="I106">
        <v>16286.4</v>
      </c>
      <c r="J106">
        <v>0</v>
      </c>
      <c r="K106">
        <f t="shared" si="4"/>
        <v>-0.58723841005147526</v>
      </c>
      <c r="L106" t="str">
        <f t="shared" si="5"/>
        <v>Normal</v>
      </c>
      <c r="M106">
        <f t="shared" si="6"/>
        <v>0</v>
      </c>
      <c r="N106" s="2" t="str">
        <f t="shared" si="7"/>
        <v>Normal</v>
      </c>
      <c r="O106" s="2">
        <f t="shared" si="8"/>
        <v>0</v>
      </c>
      <c r="P106" s="2" t="str">
        <f t="shared" si="9"/>
        <v>Normal</v>
      </c>
    </row>
    <row r="107" spans="1:16" x14ac:dyDescent="0.35">
      <c r="A107">
        <v>165.6</v>
      </c>
      <c r="B107">
        <v>8114.4</v>
      </c>
      <c r="C107">
        <v>2070</v>
      </c>
      <c r="D107">
        <v>6044.4</v>
      </c>
      <c r="E107" s="1">
        <v>41944</v>
      </c>
      <c r="F107">
        <v>11</v>
      </c>
      <c r="G107" s="2" t="s">
        <v>19</v>
      </c>
      <c r="H107">
        <v>2014</v>
      </c>
      <c r="I107">
        <v>2235.6</v>
      </c>
      <c r="J107">
        <v>0</v>
      </c>
      <c r="K107">
        <f t="shared" si="4"/>
        <v>-0.68268763062011095</v>
      </c>
      <c r="L107" t="str">
        <f t="shared" si="5"/>
        <v>Normal</v>
      </c>
      <c r="M107">
        <f t="shared" si="6"/>
        <v>0</v>
      </c>
      <c r="N107" s="2" t="str">
        <f t="shared" si="7"/>
        <v>Normal</v>
      </c>
      <c r="O107" s="2">
        <f t="shared" si="8"/>
        <v>0</v>
      </c>
      <c r="P107" s="2" t="str">
        <f t="shared" si="9"/>
        <v>Normal</v>
      </c>
    </row>
    <row r="108" spans="1:16" x14ac:dyDescent="0.35">
      <c r="A108">
        <v>4150</v>
      </c>
      <c r="B108">
        <v>203350</v>
      </c>
      <c r="C108">
        <v>199200</v>
      </c>
      <c r="D108">
        <v>4150</v>
      </c>
      <c r="E108" s="1">
        <v>41579</v>
      </c>
      <c r="F108">
        <v>11</v>
      </c>
      <c r="G108" s="2" t="s">
        <v>19</v>
      </c>
      <c r="H108">
        <v>2013</v>
      </c>
      <c r="I108">
        <v>203350</v>
      </c>
      <c r="J108">
        <v>0</v>
      </c>
      <c r="K108">
        <f t="shared" si="4"/>
        <v>0.14263327743907261</v>
      </c>
      <c r="L108" t="str">
        <f t="shared" si="5"/>
        <v>Normal</v>
      </c>
      <c r="M108">
        <f t="shared" si="6"/>
        <v>0</v>
      </c>
      <c r="N108" s="2" t="str">
        <f t="shared" si="7"/>
        <v>Normal</v>
      </c>
      <c r="O108" s="2">
        <f t="shared" si="8"/>
        <v>0</v>
      </c>
      <c r="P108" s="2" t="str">
        <f t="shared" si="9"/>
        <v>Normal</v>
      </c>
    </row>
    <row r="109" spans="1:16" x14ac:dyDescent="0.35">
      <c r="A109">
        <v>708.9</v>
      </c>
      <c r="B109">
        <v>34736.1</v>
      </c>
      <c r="C109">
        <v>23630</v>
      </c>
      <c r="D109">
        <v>11106.099999999999</v>
      </c>
      <c r="E109" s="1">
        <v>41671</v>
      </c>
      <c r="F109">
        <v>2</v>
      </c>
      <c r="G109" s="2" t="s">
        <v>18</v>
      </c>
      <c r="H109">
        <v>2014</v>
      </c>
      <c r="I109">
        <v>24338.9</v>
      </c>
      <c r="J109">
        <v>0</v>
      </c>
      <c r="K109">
        <f t="shared" si="4"/>
        <v>-0.57014951965018956</v>
      </c>
      <c r="L109" t="str">
        <f t="shared" si="5"/>
        <v>Normal</v>
      </c>
      <c r="M109">
        <f t="shared" si="6"/>
        <v>0</v>
      </c>
      <c r="N109" s="2" t="str">
        <f t="shared" si="7"/>
        <v>Normal</v>
      </c>
      <c r="O109" s="2">
        <f t="shared" si="8"/>
        <v>0</v>
      </c>
      <c r="P109" s="2" t="str">
        <f t="shared" si="9"/>
        <v>Normal</v>
      </c>
    </row>
    <row r="110" spans="1:16" x14ac:dyDescent="0.35">
      <c r="A110">
        <v>5508</v>
      </c>
      <c r="B110">
        <v>269892</v>
      </c>
      <c r="C110">
        <v>229500</v>
      </c>
      <c r="D110">
        <v>40392</v>
      </c>
      <c r="E110" s="1">
        <v>41760</v>
      </c>
      <c r="F110">
        <v>5</v>
      </c>
      <c r="G110" s="2" t="s">
        <v>21</v>
      </c>
      <c r="H110">
        <v>2014</v>
      </c>
      <c r="I110">
        <v>235008</v>
      </c>
      <c r="J110">
        <v>0</v>
      </c>
      <c r="K110">
        <f t="shared" si="4"/>
        <v>0.42392677034750831</v>
      </c>
      <c r="L110" t="str">
        <f t="shared" si="5"/>
        <v>Normal</v>
      </c>
      <c r="M110">
        <f t="shared" si="6"/>
        <v>0</v>
      </c>
      <c r="N110" s="2" t="str">
        <f t="shared" si="7"/>
        <v>Normal</v>
      </c>
      <c r="O110" s="2">
        <f t="shared" si="8"/>
        <v>0</v>
      </c>
      <c r="P110" s="2" t="str">
        <f t="shared" si="9"/>
        <v>Normal</v>
      </c>
    </row>
    <row r="111" spans="1:16" x14ac:dyDescent="0.35">
      <c r="A111">
        <v>10368</v>
      </c>
      <c r="B111">
        <v>508032</v>
      </c>
      <c r="C111">
        <v>432000</v>
      </c>
      <c r="D111">
        <v>76032</v>
      </c>
      <c r="E111" s="1">
        <v>41760</v>
      </c>
      <c r="F111">
        <v>5</v>
      </c>
      <c r="G111" s="2" t="s">
        <v>21</v>
      </c>
      <c r="H111">
        <v>2014</v>
      </c>
      <c r="I111">
        <v>442368</v>
      </c>
      <c r="J111">
        <v>0</v>
      </c>
      <c r="K111">
        <f t="shared" si="4"/>
        <v>1.4306177685323371</v>
      </c>
      <c r="L111" t="str">
        <f t="shared" si="5"/>
        <v>Normal</v>
      </c>
      <c r="M111">
        <f t="shared" si="6"/>
        <v>0</v>
      </c>
      <c r="N111" s="2" t="str">
        <f t="shared" si="7"/>
        <v>Normal</v>
      </c>
      <c r="O111" s="2">
        <f t="shared" si="8"/>
        <v>0</v>
      </c>
      <c r="P111" s="2" t="str">
        <f t="shared" si="9"/>
        <v>Normal</v>
      </c>
    </row>
    <row r="112" spans="1:16" x14ac:dyDescent="0.35">
      <c r="A112">
        <v>274.08</v>
      </c>
      <c r="B112">
        <v>13429.92</v>
      </c>
      <c r="C112">
        <v>3426</v>
      </c>
      <c r="D112">
        <v>10003.92</v>
      </c>
      <c r="E112" s="1">
        <v>41791</v>
      </c>
      <c r="F112">
        <v>6</v>
      </c>
      <c r="G112" s="2" t="s">
        <v>11</v>
      </c>
      <c r="H112">
        <v>2014</v>
      </c>
      <c r="I112">
        <v>3700.08</v>
      </c>
      <c r="J112">
        <v>0</v>
      </c>
      <c r="K112">
        <f t="shared" si="4"/>
        <v>-0.66021729327791123</v>
      </c>
      <c r="L112" t="str">
        <f t="shared" si="5"/>
        <v>Normal</v>
      </c>
      <c r="M112">
        <f t="shared" si="6"/>
        <v>0</v>
      </c>
      <c r="N112" s="2" t="str">
        <f t="shared" si="7"/>
        <v>Normal</v>
      </c>
      <c r="O112" s="2">
        <f t="shared" si="8"/>
        <v>0</v>
      </c>
      <c r="P112" s="2" t="str">
        <f t="shared" si="9"/>
        <v>Normal</v>
      </c>
    </row>
    <row r="113" spans="1:16" x14ac:dyDescent="0.35">
      <c r="A113">
        <v>1655</v>
      </c>
      <c r="B113">
        <v>81095</v>
      </c>
      <c r="C113">
        <v>79440</v>
      </c>
      <c r="D113">
        <v>1655</v>
      </c>
      <c r="E113" s="1">
        <v>41791</v>
      </c>
      <c r="F113">
        <v>6</v>
      </c>
      <c r="G113" s="2" t="s">
        <v>11</v>
      </c>
      <c r="H113">
        <v>2014</v>
      </c>
      <c r="I113">
        <v>81095</v>
      </c>
      <c r="J113">
        <v>0</v>
      </c>
      <c r="K113">
        <f t="shared" si="4"/>
        <v>-0.37417619590890022</v>
      </c>
      <c r="L113" t="str">
        <f t="shared" si="5"/>
        <v>Normal</v>
      </c>
      <c r="M113">
        <f t="shared" si="6"/>
        <v>0</v>
      </c>
      <c r="N113" s="2" t="str">
        <f t="shared" si="7"/>
        <v>Normal</v>
      </c>
      <c r="O113" s="2">
        <f t="shared" si="8"/>
        <v>0</v>
      </c>
      <c r="P113" s="2" t="str">
        <f t="shared" si="9"/>
        <v>Normal</v>
      </c>
    </row>
    <row r="114" spans="1:16" x14ac:dyDescent="0.35">
      <c r="A114">
        <v>310.8</v>
      </c>
      <c r="B114">
        <v>15229.2</v>
      </c>
      <c r="C114">
        <v>3885</v>
      </c>
      <c r="D114">
        <v>11344.2</v>
      </c>
      <c r="E114" s="1">
        <v>41913</v>
      </c>
      <c r="F114">
        <v>10</v>
      </c>
      <c r="G114" s="2" t="s">
        <v>17</v>
      </c>
      <c r="H114">
        <v>2014</v>
      </c>
      <c r="I114">
        <v>4195.8</v>
      </c>
      <c r="J114">
        <v>0</v>
      </c>
      <c r="K114">
        <f t="shared" si="4"/>
        <v>-0.65261118351384806</v>
      </c>
      <c r="L114" t="str">
        <f t="shared" si="5"/>
        <v>Normal</v>
      </c>
      <c r="M114">
        <f t="shared" si="6"/>
        <v>0</v>
      </c>
      <c r="N114" s="2" t="str">
        <f t="shared" si="7"/>
        <v>Normal</v>
      </c>
      <c r="O114" s="2">
        <f t="shared" si="8"/>
        <v>0</v>
      </c>
      <c r="P114" s="2" t="str">
        <f t="shared" si="9"/>
        <v>Normal</v>
      </c>
    </row>
    <row r="115" spans="1:16" x14ac:dyDescent="0.35">
      <c r="A115">
        <v>2022.5</v>
      </c>
      <c r="B115">
        <v>99102.5</v>
      </c>
      <c r="C115">
        <v>97080</v>
      </c>
      <c r="D115">
        <v>2022.5</v>
      </c>
      <c r="E115" s="1">
        <v>41548</v>
      </c>
      <c r="F115">
        <v>10</v>
      </c>
      <c r="G115" s="2" t="s">
        <v>17</v>
      </c>
      <c r="H115">
        <v>2013</v>
      </c>
      <c r="I115">
        <v>99102.5</v>
      </c>
      <c r="J115">
        <v>0</v>
      </c>
      <c r="K115">
        <f t="shared" si="4"/>
        <v>-0.29805295684862765</v>
      </c>
      <c r="L115" t="str">
        <f t="shared" si="5"/>
        <v>Normal</v>
      </c>
      <c r="M115">
        <f t="shared" si="6"/>
        <v>0</v>
      </c>
      <c r="N115" s="2" t="str">
        <f t="shared" si="7"/>
        <v>Normal</v>
      </c>
      <c r="O115" s="2">
        <f t="shared" si="8"/>
        <v>0</v>
      </c>
      <c r="P115" s="2" t="str">
        <f t="shared" si="9"/>
        <v>Normal</v>
      </c>
    </row>
    <row r="116" spans="1:16" x14ac:dyDescent="0.35">
      <c r="A116">
        <v>5362.5</v>
      </c>
      <c r="B116">
        <v>262762.5</v>
      </c>
      <c r="C116">
        <v>257400</v>
      </c>
      <c r="D116">
        <v>5362.5</v>
      </c>
      <c r="E116" s="1">
        <v>41548</v>
      </c>
      <c r="F116">
        <v>10</v>
      </c>
      <c r="G116" s="2" t="s">
        <v>17</v>
      </c>
      <c r="H116">
        <v>2013</v>
      </c>
      <c r="I116">
        <v>262762.5</v>
      </c>
      <c r="J116">
        <v>0</v>
      </c>
      <c r="K116">
        <f t="shared" si="4"/>
        <v>0.39378818182160452</v>
      </c>
      <c r="L116" t="str">
        <f t="shared" si="5"/>
        <v>Normal</v>
      </c>
      <c r="M116">
        <f t="shared" si="6"/>
        <v>0</v>
      </c>
      <c r="N116" s="2" t="str">
        <f t="shared" si="7"/>
        <v>Normal</v>
      </c>
      <c r="O116" s="2">
        <f t="shared" si="8"/>
        <v>0</v>
      </c>
      <c r="P116" s="2" t="str">
        <f t="shared" si="9"/>
        <v>Normal</v>
      </c>
    </row>
    <row r="117" spans="1:16" x14ac:dyDescent="0.35">
      <c r="A117">
        <v>428.4</v>
      </c>
      <c r="B117">
        <v>20991.599999999999</v>
      </c>
      <c r="C117">
        <v>5355</v>
      </c>
      <c r="D117">
        <v>15636.599999999999</v>
      </c>
      <c r="E117" s="1">
        <v>41579</v>
      </c>
      <c r="F117">
        <v>11</v>
      </c>
      <c r="G117" s="2" t="s">
        <v>19</v>
      </c>
      <c r="H117">
        <v>2013</v>
      </c>
      <c r="I117">
        <v>5783.4</v>
      </c>
      <c r="J117">
        <v>0</v>
      </c>
      <c r="K117">
        <f t="shared" si="4"/>
        <v>-0.62825174701456088</v>
      </c>
      <c r="L117" t="str">
        <f t="shared" si="5"/>
        <v>Normal</v>
      </c>
      <c r="M117">
        <f t="shared" si="6"/>
        <v>0</v>
      </c>
      <c r="N117" s="2" t="str">
        <f t="shared" si="7"/>
        <v>Normal</v>
      </c>
      <c r="O117" s="2">
        <f t="shared" si="8"/>
        <v>0</v>
      </c>
      <c r="P117" s="2" t="str">
        <f t="shared" si="9"/>
        <v>Normal</v>
      </c>
    </row>
    <row r="118" spans="1:16" x14ac:dyDescent="0.35">
      <c r="A118">
        <v>11496</v>
      </c>
      <c r="B118">
        <v>563304</v>
      </c>
      <c r="C118">
        <v>479000</v>
      </c>
      <c r="D118">
        <v>84304</v>
      </c>
      <c r="E118" s="1">
        <v>41974</v>
      </c>
      <c r="F118">
        <v>12</v>
      </c>
      <c r="G118" s="2" t="s">
        <v>12</v>
      </c>
      <c r="H118">
        <v>2014</v>
      </c>
      <c r="I118">
        <v>490496</v>
      </c>
      <c r="J118">
        <v>0</v>
      </c>
      <c r="K118">
        <f t="shared" si="4"/>
        <v>1.6642695063826429</v>
      </c>
      <c r="L118" t="str">
        <f t="shared" si="5"/>
        <v>Normal</v>
      </c>
      <c r="M118">
        <f t="shared" si="6"/>
        <v>0</v>
      </c>
      <c r="N118" s="2" t="str">
        <f t="shared" si="7"/>
        <v>Normal</v>
      </c>
      <c r="O118" s="2">
        <f t="shared" si="8"/>
        <v>0</v>
      </c>
      <c r="P118" s="2" t="str">
        <f t="shared" si="9"/>
        <v>Normal</v>
      </c>
    </row>
    <row r="119" spans="1:16" x14ac:dyDescent="0.35">
      <c r="A119">
        <v>19964</v>
      </c>
      <c r="B119">
        <v>978236</v>
      </c>
      <c r="C119">
        <v>741520</v>
      </c>
      <c r="D119">
        <v>236716</v>
      </c>
      <c r="E119" s="1">
        <v>41974</v>
      </c>
      <c r="F119">
        <v>12</v>
      </c>
      <c r="G119" s="2" t="s">
        <v>12</v>
      </c>
      <c r="H119">
        <v>2014</v>
      </c>
      <c r="I119">
        <v>761484</v>
      </c>
      <c r="J119">
        <v>0</v>
      </c>
      <c r="K119">
        <f t="shared" si="4"/>
        <v>3.4183146447836985</v>
      </c>
      <c r="L119" t="str">
        <f t="shared" si="5"/>
        <v>Anomaly</v>
      </c>
      <c r="M119">
        <f t="shared" si="6"/>
        <v>0</v>
      </c>
      <c r="N119" s="2" t="str">
        <f t="shared" si="7"/>
        <v>Normal</v>
      </c>
      <c r="O119" s="2">
        <f t="shared" si="8"/>
        <v>0</v>
      </c>
      <c r="P119" s="2" t="str">
        <f t="shared" si="9"/>
        <v>Normal</v>
      </c>
    </row>
    <row r="120" spans="1:16" x14ac:dyDescent="0.35">
      <c r="A120">
        <v>6822.5</v>
      </c>
      <c r="B120">
        <v>334302.5</v>
      </c>
      <c r="C120">
        <v>327480</v>
      </c>
      <c r="D120">
        <v>6822.5</v>
      </c>
      <c r="E120" s="1">
        <v>41974</v>
      </c>
      <c r="F120">
        <v>12</v>
      </c>
      <c r="G120" s="2" t="s">
        <v>12</v>
      </c>
      <c r="H120">
        <v>2014</v>
      </c>
      <c r="I120">
        <v>334302.5</v>
      </c>
      <c r="J120">
        <v>0</v>
      </c>
      <c r="K120">
        <f t="shared" si="4"/>
        <v>0.6962097574079934</v>
      </c>
      <c r="L120" t="str">
        <f t="shared" si="5"/>
        <v>Normal</v>
      </c>
      <c r="M120">
        <f t="shared" si="6"/>
        <v>0</v>
      </c>
      <c r="N120" s="2" t="str">
        <f t="shared" si="7"/>
        <v>Normal</v>
      </c>
      <c r="O120" s="2">
        <f t="shared" si="8"/>
        <v>0</v>
      </c>
      <c r="P120" s="2" t="str">
        <f t="shared" si="9"/>
        <v>Normal</v>
      </c>
    </row>
    <row r="121" spans="1:16" x14ac:dyDescent="0.35">
      <c r="A121">
        <v>577.5</v>
      </c>
      <c r="B121">
        <v>28297.5</v>
      </c>
      <c r="C121">
        <v>19250</v>
      </c>
      <c r="D121">
        <v>9047.5</v>
      </c>
      <c r="E121" s="1">
        <v>41609</v>
      </c>
      <c r="F121">
        <v>12</v>
      </c>
      <c r="G121" s="2" t="s">
        <v>12</v>
      </c>
      <c r="H121">
        <v>2013</v>
      </c>
      <c r="I121">
        <v>19827.5</v>
      </c>
      <c r="J121">
        <v>0</v>
      </c>
      <c r="K121">
        <f t="shared" si="4"/>
        <v>-0.5973674614529646</v>
      </c>
      <c r="L121" t="str">
        <f t="shared" si="5"/>
        <v>Normal</v>
      </c>
      <c r="M121">
        <f t="shared" si="6"/>
        <v>0</v>
      </c>
      <c r="N121" s="2" t="str">
        <f t="shared" si="7"/>
        <v>Normal</v>
      </c>
      <c r="O121" s="2">
        <f t="shared" si="8"/>
        <v>0</v>
      </c>
      <c r="P121" s="2" t="str">
        <f t="shared" si="9"/>
        <v>Normal</v>
      </c>
    </row>
    <row r="122" spans="1:16" x14ac:dyDescent="0.35">
      <c r="A122">
        <v>281.82</v>
      </c>
      <c r="B122">
        <v>13809.18</v>
      </c>
      <c r="C122">
        <v>10065</v>
      </c>
      <c r="D122">
        <v>3744.1800000000003</v>
      </c>
      <c r="E122" s="1">
        <v>41609</v>
      </c>
      <c r="F122">
        <v>12</v>
      </c>
      <c r="G122" s="2" t="s">
        <v>12</v>
      </c>
      <c r="H122">
        <v>2013</v>
      </c>
      <c r="I122">
        <v>10346.82</v>
      </c>
      <c r="J122">
        <v>0</v>
      </c>
      <c r="K122">
        <f t="shared" si="4"/>
        <v>-0.65861404465117257</v>
      </c>
      <c r="L122" t="str">
        <f t="shared" si="5"/>
        <v>Normal</v>
      </c>
      <c r="M122">
        <f t="shared" si="6"/>
        <v>0</v>
      </c>
      <c r="N122" s="2" t="str">
        <f t="shared" si="7"/>
        <v>Normal</v>
      </c>
      <c r="O122" s="2">
        <f t="shared" si="8"/>
        <v>0</v>
      </c>
      <c r="P122" s="2" t="str">
        <f t="shared" si="9"/>
        <v>Normal</v>
      </c>
    </row>
    <row r="123" spans="1:16" x14ac:dyDescent="0.35">
      <c r="A123">
        <v>253.2</v>
      </c>
      <c r="B123">
        <v>12406.8</v>
      </c>
      <c r="C123">
        <v>3165</v>
      </c>
      <c r="D123">
        <v>9241.7999999999993</v>
      </c>
      <c r="E123" s="1">
        <v>41974</v>
      </c>
      <c r="F123">
        <v>12</v>
      </c>
      <c r="G123" s="2" t="s">
        <v>12</v>
      </c>
      <c r="H123">
        <v>2014</v>
      </c>
      <c r="I123">
        <v>3418.2</v>
      </c>
      <c r="J123">
        <v>0</v>
      </c>
      <c r="K123">
        <f t="shared" si="4"/>
        <v>-0.66454233608492763</v>
      </c>
      <c r="L123" t="str">
        <f t="shared" si="5"/>
        <v>Normal</v>
      </c>
      <c r="M123">
        <f t="shared" si="6"/>
        <v>0</v>
      </c>
      <c r="N123" s="2" t="str">
        <f t="shared" si="7"/>
        <v>Normal</v>
      </c>
      <c r="O123" s="2">
        <f t="shared" si="8"/>
        <v>0</v>
      </c>
      <c r="P123" s="2" t="str">
        <f t="shared" si="9"/>
        <v>Normal</v>
      </c>
    </row>
    <row r="124" spans="1:16" x14ac:dyDescent="0.35">
      <c r="A124">
        <v>260.16000000000003</v>
      </c>
      <c r="B124">
        <v>12747.84</v>
      </c>
      <c r="C124">
        <v>3252</v>
      </c>
      <c r="D124">
        <v>9495.84</v>
      </c>
      <c r="E124" s="1">
        <v>41974</v>
      </c>
      <c r="F124">
        <v>12</v>
      </c>
      <c r="G124" s="2" t="s">
        <v>12</v>
      </c>
      <c r="H124">
        <v>2014</v>
      </c>
      <c r="I124">
        <v>3512.16</v>
      </c>
      <c r="J124">
        <v>0</v>
      </c>
      <c r="K124">
        <f t="shared" si="4"/>
        <v>-0.66310065514925554</v>
      </c>
      <c r="L124" t="str">
        <f t="shared" si="5"/>
        <v>Normal</v>
      </c>
      <c r="M124">
        <f t="shared" si="6"/>
        <v>0</v>
      </c>
      <c r="N124" s="2" t="str">
        <f t="shared" si="7"/>
        <v>Normal</v>
      </c>
      <c r="O124" s="2">
        <f t="shared" si="8"/>
        <v>0</v>
      </c>
      <c r="P124" s="2" t="str">
        <f t="shared" si="9"/>
        <v>Normal</v>
      </c>
    </row>
    <row r="125" spans="1:16" x14ac:dyDescent="0.35">
      <c r="A125">
        <v>626.4</v>
      </c>
      <c r="B125">
        <v>30693.599999999999</v>
      </c>
      <c r="C125">
        <v>15660</v>
      </c>
      <c r="D125">
        <v>15033.599999999999</v>
      </c>
      <c r="E125" s="1">
        <v>41913</v>
      </c>
      <c r="F125">
        <v>10</v>
      </c>
      <c r="G125" s="2" t="s">
        <v>17</v>
      </c>
      <c r="H125">
        <v>2014</v>
      </c>
      <c r="I125">
        <v>16286.4</v>
      </c>
      <c r="J125">
        <v>0</v>
      </c>
      <c r="K125">
        <f t="shared" si="4"/>
        <v>-0.58723841005147526</v>
      </c>
      <c r="L125" t="str">
        <f t="shared" si="5"/>
        <v>Normal</v>
      </c>
      <c r="M125">
        <f t="shared" si="6"/>
        <v>0</v>
      </c>
      <c r="N125" s="2" t="str">
        <f t="shared" si="7"/>
        <v>Normal</v>
      </c>
      <c r="O125" s="2">
        <f t="shared" si="8"/>
        <v>0</v>
      </c>
      <c r="P125" s="2" t="str">
        <f t="shared" si="9"/>
        <v>Normal</v>
      </c>
    </row>
    <row r="126" spans="1:16" x14ac:dyDescent="0.35">
      <c r="A126">
        <v>20762</v>
      </c>
      <c r="B126">
        <v>1017338</v>
      </c>
      <c r="C126">
        <v>771160</v>
      </c>
      <c r="D126">
        <v>246178</v>
      </c>
      <c r="E126" s="1">
        <v>41548</v>
      </c>
      <c r="F126">
        <v>10</v>
      </c>
      <c r="G126" s="2" t="s">
        <v>17</v>
      </c>
      <c r="H126">
        <v>2013</v>
      </c>
      <c r="I126">
        <v>791922</v>
      </c>
      <c r="J126">
        <v>0</v>
      </c>
      <c r="K126">
        <f t="shared" si="4"/>
        <v>3.583610821028862</v>
      </c>
      <c r="L126" t="str">
        <f t="shared" si="5"/>
        <v>Anomaly</v>
      </c>
      <c r="M126">
        <f t="shared" si="6"/>
        <v>0</v>
      </c>
      <c r="N126" s="2" t="str">
        <f t="shared" si="7"/>
        <v>Normal</v>
      </c>
      <c r="O126" s="2">
        <f t="shared" si="8"/>
        <v>0</v>
      </c>
      <c r="P126" s="2" t="str">
        <f t="shared" si="9"/>
        <v>Normal</v>
      </c>
    </row>
    <row r="127" spans="1:16" x14ac:dyDescent="0.35">
      <c r="A127">
        <v>20139</v>
      </c>
      <c r="B127">
        <v>986811</v>
      </c>
      <c r="C127">
        <v>748020</v>
      </c>
      <c r="D127">
        <v>238791</v>
      </c>
      <c r="E127" s="1">
        <v>41913</v>
      </c>
      <c r="F127">
        <v>10</v>
      </c>
      <c r="G127" s="2" t="s">
        <v>17</v>
      </c>
      <c r="H127">
        <v>2014</v>
      </c>
      <c r="I127">
        <v>768159</v>
      </c>
      <c r="J127">
        <v>0</v>
      </c>
      <c r="K127">
        <f t="shared" si="4"/>
        <v>3.4545638062409711</v>
      </c>
      <c r="L127" t="str">
        <f t="shared" si="5"/>
        <v>Anomaly</v>
      </c>
      <c r="M127">
        <f t="shared" si="6"/>
        <v>0</v>
      </c>
      <c r="N127" s="2" t="str">
        <f t="shared" si="7"/>
        <v>Normal</v>
      </c>
      <c r="O127" s="2">
        <f t="shared" si="8"/>
        <v>0</v>
      </c>
      <c r="P127" s="2" t="str">
        <f t="shared" si="9"/>
        <v>Normal</v>
      </c>
    </row>
    <row r="128" spans="1:16" x14ac:dyDescent="0.35">
      <c r="A128">
        <v>2022.5</v>
      </c>
      <c r="B128">
        <v>99102.5</v>
      </c>
      <c r="C128">
        <v>97080</v>
      </c>
      <c r="D128">
        <v>2022.5</v>
      </c>
      <c r="E128" s="1">
        <v>41548</v>
      </c>
      <c r="F128">
        <v>10</v>
      </c>
      <c r="G128" s="2" t="s">
        <v>17</v>
      </c>
      <c r="H128">
        <v>2013</v>
      </c>
      <c r="I128">
        <v>99102.5</v>
      </c>
      <c r="J128">
        <v>0</v>
      </c>
      <c r="K128">
        <f t="shared" si="4"/>
        <v>-0.29805295684862765</v>
      </c>
      <c r="L128" t="str">
        <f t="shared" si="5"/>
        <v>Normal</v>
      </c>
      <c r="M128">
        <f t="shared" si="6"/>
        <v>0</v>
      </c>
      <c r="N128" s="2" t="str">
        <f t="shared" si="7"/>
        <v>Normal</v>
      </c>
      <c r="O128" s="2">
        <f t="shared" si="8"/>
        <v>0</v>
      </c>
      <c r="P128" s="2" t="str">
        <f t="shared" si="9"/>
        <v>Normal</v>
      </c>
    </row>
    <row r="129" spans="1:16" x14ac:dyDescent="0.35">
      <c r="A129">
        <v>5362.5</v>
      </c>
      <c r="B129">
        <v>262762.5</v>
      </c>
      <c r="C129">
        <v>257400</v>
      </c>
      <c r="D129">
        <v>5362.5</v>
      </c>
      <c r="E129" s="1">
        <v>41548</v>
      </c>
      <c r="F129">
        <v>10</v>
      </c>
      <c r="G129" s="2" t="s">
        <v>17</v>
      </c>
      <c r="H129">
        <v>2013</v>
      </c>
      <c r="I129">
        <v>262762.5</v>
      </c>
      <c r="J129">
        <v>0</v>
      </c>
      <c r="K129">
        <f t="shared" si="4"/>
        <v>0.39378818182160452</v>
      </c>
      <c r="L129" t="str">
        <f t="shared" si="5"/>
        <v>Normal</v>
      </c>
      <c r="M129">
        <f t="shared" si="6"/>
        <v>0</v>
      </c>
      <c r="N129" s="2" t="str">
        <f t="shared" si="7"/>
        <v>Normal</v>
      </c>
      <c r="O129" s="2">
        <f t="shared" si="8"/>
        <v>0</v>
      </c>
      <c r="P129" s="2" t="str">
        <f t="shared" si="9"/>
        <v>Normal</v>
      </c>
    </row>
    <row r="130" spans="1:16" x14ac:dyDescent="0.35">
      <c r="A130">
        <v>253.2</v>
      </c>
      <c r="B130">
        <v>12406.8</v>
      </c>
      <c r="C130">
        <v>3165</v>
      </c>
      <c r="D130">
        <v>9241.7999999999993</v>
      </c>
      <c r="E130" s="1">
        <v>41974</v>
      </c>
      <c r="F130">
        <v>12</v>
      </c>
      <c r="G130" s="2" t="s">
        <v>12</v>
      </c>
      <c r="H130">
        <v>2014</v>
      </c>
      <c r="I130">
        <v>3418.2</v>
      </c>
      <c r="J130">
        <v>0</v>
      </c>
      <c r="K130">
        <f t="shared" ref="K130:K193" si="10">(B130 - $U$2) / $U$3</f>
        <v>-0.66454233608492763</v>
      </c>
      <c r="L130" t="str">
        <f t="shared" ref="L130:L193" si="11">IF(ABS(K130) &gt; 3, "Anomaly", "Normal")</f>
        <v>Normal</v>
      </c>
      <c r="M130">
        <f t="shared" ref="M130:M193" si="12">IFERROR((I130-$S$6)/$S$7,0)</f>
        <v>0</v>
      </c>
      <c r="N130" s="2" t="str">
        <f t="shared" ref="N130:N193" si="13">IF(ABS(M130) &gt; 3, "Anomaly", "Normal")</f>
        <v>Normal</v>
      </c>
      <c r="O130" s="2">
        <f t="shared" ref="O130:O193" si="14">IFERROR((J130-$Q$2)/$Q$3,0)</f>
        <v>0</v>
      </c>
      <c r="P130" s="2" t="str">
        <f t="shared" ref="P130:P193" si="15">IF(ABS(O130)&gt;3,"Anomaly","Normal")</f>
        <v>Normal</v>
      </c>
    </row>
    <row r="131" spans="1:16" x14ac:dyDescent="0.35">
      <c r="A131">
        <v>217.6</v>
      </c>
      <c r="B131">
        <v>10662.4</v>
      </c>
      <c r="C131">
        <v>5440</v>
      </c>
      <c r="D131">
        <v>5222.3999999999996</v>
      </c>
      <c r="E131" s="1">
        <v>41609</v>
      </c>
      <c r="F131">
        <v>12</v>
      </c>
      <c r="G131" s="2" t="s">
        <v>12</v>
      </c>
      <c r="H131">
        <v>2013</v>
      </c>
      <c r="I131">
        <v>5657.6</v>
      </c>
      <c r="J131">
        <v>0</v>
      </c>
      <c r="K131">
        <f t="shared" si="10"/>
        <v>-0.67191645121566423</v>
      </c>
      <c r="L131" t="str">
        <f t="shared" si="11"/>
        <v>Normal</v>
      </c>
      <c r="M131">
        <f t="shared" si="12"/>
        <v>0</v>
      </c>
      <c r="N131" s="2" t="str">
        <f t="shared" si="13"/>
        <v>Normal</v>
      </c>
      <c r="O131" s="2">
        <f t="shared" si="14"/>
        <v>0</v>
      </c>
      <c r="P131" s="2" t="str">
        <f t="shared" si="15"/>
        <v>Normal</v>
      </c>
    </row>
    <row r="132" spans="1:16" x14ac:dyDescent="0.35">
      <c r="A132">
        <v>260.16000000000003</v>
      </c>
      <c r="B132">
        <v>12747.84</v>
      </c>
      <c r="C132">
        <v>3252</v>
      </c>
      <c r="D132">
        <v>9495.84</v>
      </c>
      <c r="E132" s="1">
        <v>41974</v>
      </c>
      <c r="F132">
        <v>12</v>
      </c>
      <c r="G132" s="2" t="s">
        <v>12</v>
      </c>
      <c r="H132">
        <v>2014</v>
      </c>
      <c r="I132">
        <v>3512.16</v>
      </c>
      <c r="J132">
        <v>0</v>
      </c>
      <c r="K132">
        <f t="shared" si="10"/>
        <v>-0.66310065514925554</v>
      </c>
      <c r="L132" t="str">
        <f t="shared" si="11"/>
        <v>Normal</v>
      </c>
      <c r="M132">
        <f t="shared" si="12"/>
        <v>0</v>
      </c>
      <c r="N132" s="2" t="str">
        <f t="shared" si="13"/>
        <v>Normal</v>
      </c>
      <c r="O132" s="2">
        <f t="shared" si="14"/>
        <v>0</v>
      </c>
      <c r="P132" s="2" t="str">
        <f t="shared" si="15"/>
        <v>Normal</v>
      </c>
    </row>
    <row r="133" spans="1:16" x14ac:dyDescent="0.35">
      <c r="A133">
        <v>1655</v>
      </c>
      <c r="B133">
        <v>81095</v>
      </c>
      <c r="C133">
        <v>79440</v>
      </c>
      <c r="D133">
        <v>1655</v>
      </c>
      <c r="E133" s="1">
        <v>41791</v>
      </c>
      <c r="F133">
        <v>6</v>
      </c>
      <c r="G133" s="2" t="s">
        <v>11</v>
      </c>
      <c r="H133">
        <v>2014</v>
      </c>
      <c r="I133">
        <v>81095</v>
      </c>
      <c r="J133">
        <v>0</v>
      </c>
      <c r="K133">
        <f t="shared" si="10"/>
        <v>-0.37417619590890022</v>
      </c>
      <c r="L133" t="str">
        <f t="shared" si="11"/>
        <v>Normal</v>
      </c>
      <c r="M133">
        <f t="shared" si="12"/>
        <v>0</v>
      </c>
      <c r="N133" s="2" t="str">
        <f t="shared" si="13"/>
        <v>Normal</v>
      </c>
      <c r="O133" s="2">
        <f t="shared" si="14"/>
        <v>0</v>
      </c>
      <c r="P133" s="2" t="str">
        <f t="shared" si="15"/>
        <v>Normal</v>
      </c>
    </row>
    <row r="134" spans="1:16" x14ac:dyDescent="0.35">
      <c r="A134">
        <v>1284</v>
      </c>
      <c r="B134">
        <v>62916</v>
      </c>
      <c r="C134">
        <v>53500</v>
      </c>
      <c r="D134">
        <v>9416</v>
      </c>
      <c r="E134" s="1">
        <v>41548</v>
      </c>
      <c r="F134">
        <v>10</v>
      </c>
      <c r="G134" s="2" t="s">
        <v>17</v>
      </c>
      <c r="H134">
        <v>2013</v>
      </c>
      <c r="I134">
        <v>54784</v>
      </c>
      <c r="J134">
        <v>0</v>
      </c>
      <c r="K134">
        <f t="shared" si="10"/>
        <v>-0.45102441819831823</v>
      </c>
      <c r="L134" t="str">
        <f t="shared" si="11"/>
        <v>Normal</v>
      </c>
      <c r="M134">
        <f t="shared" si="12"/>
        <v>0</v>
      </c>
      <c r="N134" s="2" t="str">
        <f t="shared" si="13"/>
        <v>Normal</v>
      </c>
      <c r="O134" s="2">
        <f t="shared" si="14"/>
        <v>0</v>
      </c>
      <c r="P134" s="2" t="str">
        <f t="shared" si="15"/>
        <v>Normal</v>
      </c>
    </row>
    <row r="135" spans="1:16" x14ac:dyDescent="0.35">
      <c r="A135">
        <v>20139</v>
      </c>
      <c r="B135">
        <v>986811</v>
      </c>
      <c r="C135">
        <v>748020</v>
      </c>
      <c r="D135">
        <v>238791</v>
      </c>
      <c r="E135" s="1">
        <v>41913</v>
      </c>
      <c r="F135">
        <v>10</v>
      </c>
      <c r="G135" s="2" t="s">
        <v>17</v>
      </c>
      <c r="H135">
        <v>2014</v>
      </c>
      <c r="I135">
        <v>768159</v>
      </c>
      <c r="J135">
        <v>0</v>
      </c>
      <c r="K135">
        <f t="shared" si="10"/>
        <v>3.4545638062409711</v>
      </c>
      <c r="L135" t="str">
        <f t="shared" si="11"/>
        <v>Anomaly</v>
      </c>
      <c r="M135">
        <f t="shared" si="12"/>
        <v>0</v>
      </c>
      <c r="N135" s="2" t="str">
        <f t="shared" si="13"/>
        <v>Normal</v>
      </c>
      <c r="O135" s="2">
        <f t="shared" si="14"/>
        <v>0</v>
      </c>
      <c r="P135" s="2" t="str">
        <f t="shared" si="15"/>
        <v>Normal</v>
      </c>
    </row>
    <row r="136" spans="1:16" x14ac:dyDescent="0.35">
      <c r="A136">
        <v>6822.5</v>
      </c>
      <c r="B136">
        <v>334302.5</v>
      </c>
      <c r="C136">
        <v>327480</v>
      </c>
      <c r="D136">
        <v>6822.5</v>
      </c>
      <c r="E136" s="1">
        <v>41974</v>
      </c>
      <c r="F136">
        <v>12</v>
      </c>
      <c r="G136" s="2" t="s">
        <v>12</v>
      </c>
      <c r="H136">
        <v>2014</v>
      </c>
      <c r="I136">
        <v>334302.5</v>
      </c>
      <c r="J136">
        <v>0</v>
      </c>
      <c r="K136">
        <f t="shared" si="10"/>
        <v>0.6962097574079934</v>
      </c>
      <c r="L136" t="str">
        <f t="shared" si="11"/>
        <v>Normal</v>
      </c>
      <c r="M136">
        <f t="shared" si="12"/>
        <v>0</v>
      </c>
      <c r="N136" s="2" t="str">
        <f t="shared" si="13"/>
        <v>Normal</v>
      </c>
      <c r="O136" s="2">
        <f t="shared" si="14"/>
        <v>0</v>
      </c>
      <c r="P136" s="2" t="str">
        <f t="shared" si="15"/>
        <v>Normal</v>
      </c>
    </row>
    <row r="137" spans="1:16" x14ac:dyDescent="0.35">
      <c r="A137">
        <v>1862</v>
      </c>
      <c r="B137">
        <v>91238</v>
      </c>
      <c r="C137">
        <v>69160</v>
      </c>
      <c r="D137">
        <v>22078</v>
      </c>
      <c r="E137" s="1">
        <v>41609</v>
      </c>
      <c r="F137">
        <v>12</v>
      </c>
      <c r="G137" s="2" t="s">
        <v>12</v>
      </c>
      <c r="H137">
        <v>2013</v>
      </c>
      <c r="I137">
        <v>71022</v>
      </c>
      <c r="J137">
        <v>0</v>
      </c>
      <c r="K137">
        <f t="shared" si="10"/>
        <v>-0.33129861635658342</v>
      </c>
      <c r="L137" t="str">
        <f t="shared" si="11"/>
        <v>Normal</v>
      </c>
      <c r="M137">
        <f t="shared" si="12"/>
        <v>0</v>
      </c>
      <c r="N137" s="2" t="str">
        <f t="shared" si="13"/>
        <v>Normal</v>
      </c>
      <c r="O137" s="2">
        <f t="shared" si="14"/>
        <v>0</v>
      </c>
      <c r="P137" s="2" t="str">
        <f t="shared" si="15"/>
        <v>Normal</v>
      </c>
    </row>
    <row r="138" spans="1:16" x14ac:dyDescent="0.35">
      <c r="A138">
        <v>13580</v>
      </c>
      <c r="B138">
        <v>665420</v>
      </c>
      <c r="C138">
        <v>504400</v>
      </c>
      <c r="D138">
        <v>161020</v>
      </c>
      <c r="E138" s="1">
        <v>41609</v>
      </c>
      <c r="F138">
        <v>12</v>
      </c>
      <c r="G138" s="2" t="s">
        <v>12</v>
      </c>
      <c r="H138">
        <v>2013</v>
      </c>
      <c r="I138">
        <v>517980</v>
      </c>
      <c r="J138">
        <v>0</v>
      </c>
      <c r="K138">
        <f t="shared" si="10"/>
        <v>2.0959452348223926</v>
      </c>
      <c r="L138" t="str">
        <f t="shared" si="11"/>
        <v>Normal</v>
      </c>
      <c r="M138">
        <f t="shared" si="12"/>
        <v>0</v>
      </c>
      <c r="N138" s="2" t="str">
        <f t="shared" si="13"/>
        <v>Normal</v>
      </c>
      <c r="O138" s="2">
        <f t="shared" si="14"/>
        <v>0</v>
      </c>
      <c r="P138" s="2" t="str">
        <f t="shared" si="15"/>
        <v>Normal</v>
      </c>
    </row>
    <row r="139" spans="1:16" x14ac:dyDescent="0.35">
      <c r="A139">
        <v>1554</v>
      </c>
      <c r="B139">
        <v>76146</v>
      </c>
      <c r="C139">
        <v>64750</v>
      </c>
      <c r="D139">
        <v>11396</v>
      </c>
      <c r="E139" s="1">
        <v>41699</v>
      </c>
      <c r="F139">
        <v>3</v>
      </c>
      <c r="G139" s="2" t="s">
        <v>13</v>
      </c>
      <c r="H139">
        <v>2014</v>
      </c>
      <c r="I139">
        <v>66304</v>
      </c>
      <c r="J139">
        <v>0</v>
      </c>
      <c r="K139">
        <f t="shared" si="10"/>
        <v>-0.39509714052138328</v>
      </c>
      <c r="L139" t="str">
        <f t="shared" si="11"/>
        <v>Normal</v>
      </c>
      <c r="M139">
        <f t="shared" si="12"/>
        <v>0</v>
      </c>
      <c r="N139" s="2" t="str">
        <f t="shared" si="13"/>
        <v>Normal</v>
      </c>
      <c r="O139" s="2">
        <f t="shared" si="14"/>
        <v>0</v>
      </c>
      <c r="P139" s="2" t="str">
        <f t="shared" si="15"/>
        <v>Normal</v>
      </c>
    </row>
    <row r="140" spans="1:16" x14ac:dyDescent="0.35">
      <c r="A140">
        <v>6606</v>
      </c>
      <c r="B140">
        <v>323694</v>
      </c>
      <c r="C140">
        <v>275250</v>
      </c>
      <c r="D140">
        <v>48444</v>
      </c>
      <c r="E140" s="1">
        <v>41699</v>
      </c>
      <c r="F140">
        <v>3</v>
      </c>
      <c r="G140" s="2" t="s">
        <v>13</v>
      </c>
      <c r="H140">
        <v>2014</v>
      </c>
      <c r="I140">
        <v>281856</v>
      </c>
      <c r="J140">
        <v>0</v>
      </c>
      <c r="K140">
        <f t="shared" si="10"/>
        <v>0.65136436623371041</v>
      </c>
      <c r="L140" t="str">
        <f t="shared" si="11"/>
        <v>Normal</v>
      </c>
      <c r="M140">
        <f t="shared" si="12"/>
        <v>0</v>
      </c>
      <c r="N140" s="2" t="str">
        <f t="shared" si="13"/>
        <v>Normal</v>
      </c>
      <c r="O140" s="2">
        <f t="shared" si="14"/>
        <v>0</v>
      </c>
      <c r="P140" s="2" t="str">
        <f t="shared" si="15"/>
        <v>Normal</v>
      </c>
    </row>
    <row r="141" spans="1:16" x14ac:dyDescent="0.35">
      <c r="A141">
        <v>5690</v>
      </c>
      <c r="B141">
        <v>278810</v>
      </c>
      <c r="C141">
        <v>273120</v>
      </c>
      <c r="D141">
        <v>5690</v>
      </c>
      <c r="E141" s="1">
        <v>41760</v>
      </c>
      <c r="F141">
        <v>5</v>
      </c>
      <c r="G141" s="2" t="s">
        <v>21</v>
      </c>
      <c r="H141">
        <v>2014</v>
      </c>
      <c r="I141">
        <v>278810</v>
      </c>
      <c r="J141">
        <v>0</v>
      </c>
      <c r="K141">
        <f t="shared" si="10"/>
        <v>0.46162589826307188</v>
      </c>
      <c r="L141" t="str">
        <f t="shared" si="11"/>
        <v>Normal</v>
      </c>
      <c r="M141">
        <f t="shared" si="12"/>
        <v>0</v>
      </c>
      <c r="N141" s="2" t="str">
        <f t="shared" si="13"/>
        <v>Normal</v>
      </c>
      <c r="O141" s="2">
        <f t="shared" si="14"/>
        <v>0</v>
      </c>
      <c r="P141" s="2" t="str">
        <f t="shared" si="15"/>
        <v>Normal</v>
      </c>
    </row>
    <row r="142" spans="1:16" x14ac:dyDescent="0.35">
      <c r="A142">
        <v>20762</v>
      </c>
      <c r="B142">
        <v>1017338</v>
      </c>
      <c r="C142">
        <v>771160</v>
      </c>
      <c r="D142">
        <v>246178</v>
      </c>
      <c r="E142" s="1">
        <v>41548</v>
      </c>
      <c r="F142">
        <v>10</v>
      </c>
      <c r="G142" s="2" t="s">
        <v>17</v>
      </c>
      <c r="H142">
        <v>2013</v>
      </c>
      <c r="I142">
        <v>791922</v>
      </c>
      <c r="J142">
        <v>0</v>
      </c>
      <c r="K142">
        <f t="shared" si="10"/>
        <v>3.583610821028862</v>
      </c>
      <c r="L142" t="str">
        <f t="shared" si="11"/>
        <v>Anomaly</v>
      </c>
      <c r="M142">
        <f t="shared" si="12"/>
        <v>0</v>
      </c>
      <c r="N142" s="2" t="str">
        <f t="shared" si="13"/>
        <v>Normal</v>
      </c>
      <c r="O142" s="2">
        <f t="shared" si="14"/>
        <v>0</v>
      </c>
      <c r="P142" s="2" t="str">
        <f t="shared" si="15"/>
        <v>Normal</v>
      </c>
    </row>
    <row r="143" spans="1:16" x14ac:dyDescent="0.35">
      <c r="A143">
        <v>494.4</v>
      </c>
      <c r="B143">
        <v>24225.599999999999</v>
      </c>
      <c r="C143">
        <v>12360</v>
      </c>
      <c r="D143">
        <v>11865.599999999999</v>
      </c>
      <c r="E143" s="1">
        <v>41944</v>
      </c>
      <c r="F143">
        <v>11</v>
      </c>
      <c r="G143" s="2" t="s">
        <v>19</v>
      </c>
      <c r="H143">
        <v>2014</v>
      </c>
      <c r="I143">
        <v>12854.4</v>
      </c>
      <c r="J143">
        <v>0</v>
      </c>
      <c r="K143">
        <f t="shared" si="10"/>
        <v>-0.61458063469353241</v>
      </c>
      <c r="L143" t="str">
        <f t="shared" si="11"/>
        <v>Normal</v>
      </c>
      <c r="M143">
        <f t="shared" si="12"/>
        <v>0</v>
      </c>
      <c r="N143" s="2" t="str">
        <f t="shared" si="13"/>
        <v>Normal</v>
      </c>
      <c r="O143" s="2">
        <f t="shared" si="14"/>
        <v>0</v>
      </c>
      <c r="P143" s="2" t="str">
        <f t="shared" si="15"/>
        <v>Normal</v>
      </c>
    </row>
    <row r="144" spans="1:16" x14ac:dyDescent="0.35">
      <c r="A144">
        <v>376.4</v>
      </c>
      <c r="B144">
        <v>18443.599999999999</v>
      </c>
      <c r="C144">
        <v>9410</v>
      </c>
      <c r="D144">
        <v>9033.5999999999985</v>
      </c>
      <c r="E144" s="1">
        <v>41944</v>
      </c>
      <c r="F144">
        <v>11</v>
      </c>
      <c r="G144" s="2" t="s">
        <v>19</v>
      </c>
      <c r="H144">
        <v>2014</v>
      </c>
      <c r="I144">
        <v>9786.4</v>
      </c>
      <c r="J144">
        <v>0</v>
      </c>
      <c r="K144">
        <f t="shared" si="10"/>
        <v>-0.6390229264190076</v>
      </c>
      <c r="L144" t="str">
        <f t="shared" si="11"/>
        <v>Normal</v>
      </c>
      <c r="M144">
        <f t="shared" si="12"/>
        <v>0</v>
      </c>
      <c r="N144" s="2" t="str">
        <f t="shared" si="13"/>
        <v>Normal</v>
      </c>
      <c r="O144" s="2">
        <f t="shared" si="14"/>
        <v>0</v>
      </c>
      <c r="P144" s="2" t="str">
        <f t="shared" si="15"/>
        <v>Normal</v>
      </c>
    </row>
    <row r="145" spans="1:16" x14ac:dyDescent="0.35">
      <c r="A145">
        <v>11496</v>
      </c>
      <c r="B145">
        <v>563304</v>
      </c>
      <c r="C145">
        <v>479000</v>
      </c>
      <c r="D145">
        <v>84304</v>
      </c>
      <c r="E145" s="1">
        <v>41974</v>
      </c>
      <c r="F145">
        <v>12</v>
      </c>
      <c r="G145" s="2" t="s">
        <v>12</v>
      </c>
      <c r="H145">
        <v>2014</v>
      </c>
      <c r="I145">
        <v>490496</v>
      </c>
      <c r="J145">
        <v>0</v>
      </c>
      <c r="K145">
        <f t="shared" si="10"/>
        <v>1.6642695063826429</v>
      </c>
      <c r="L145" t="str">
        <f t="shared" si="11"/>
        <v>Normal</v>
      </c>
      <c r="M145">
        <f t="shared" si="12"/>
        <v>0</v>
      </c>
      <c r="N145" s="2" t="str">
        <f t="shared" si="13"/>
        <v>Normal</v>
      </c>
      <c r="O145" s="2">
        <f t="shared" si="14"/>
        <v>0</v>
      </c>
      <c r="P145" s="2" t="str">
        <f t="shared" si="15"/>
        <v>Normal</v>
      </c>
    </row>
    <row r="146" spans="1:16" x14ac:dyDescent="0.35">
      <c r="A146">
        <v>15913.125</v>
      </c>
      <c r="B146">
        <v>514524.375</v>
      </c>
      <c r="C146">
        <v>509220</v>
      </c>
      <c r="D146">
        <v>5304.375</v>
      </c>
      <c r="E146" s="1">
        <v>41730</v>
      </c>
      <c r="F146">
        <v>4</v>
      </c>
      <c r="G146" s="2" t="s">
        <v>20</v>
      </c>
      <c r="H146">
        <v>2014</v>
      </c>
      <c r="I146">
        <v>525133.125</v>
      </c>
      <c r="J146">
        <v>0</v>
      </c>
      <c r="K146">
        <f t="shared" si="10"/>
        <v>1.4580630337936968</v>
      </c>
      <c r="L146" t="str">
        <f t="shared" si="11"/>
        <v>Normal</v>
      </c>
      <c r="M146">
        <f t="shared" si="12"/>
        <v>0</v>
      </c>
      <c r="N146" s="2" t="str">
        <f t="shared" si="13"/>
        <v>Normal</v>
      </c>
      <c r="O146" s="2">
        <f t="shared" si="14"/>
        <v>0</v>
      </c>
      <c r="P146" s="2" t="str">
        <f t="shared" si="15"/>
        <v>Normal</v>
      </c>
    </row>
    <row r="147" spans="1:16" x14ac:dyDescent="0.35">
      <c r="A147">
        <v>1548</v>
      </c>
      <c r="B147">
        <v>50052</v>
      </c>
      <c r="C147">
        <v>25800</v>
      </c>
      <c r="D147">
        <v>24252</v>
      </c>
      <c r="E147" s="1">
        <v>41730</v>
      </c>
      <c r="F147">
        <v>4</v>
      </c>
      <c r="G147" s="2" t="s">
        <v>20</v>
      </c>
      <c r="H147">
        <v>2014</v>
      </c>
      <c r="I147">
        <v>27348</v>
      </c>
      <c r="J147">
        <v>0</v>
      </c>
      <c r="K147">
        <f t="shared" si="10"/>
        <v>-0.50540450134541504</v>
      </c>
      <c r="L147" t="str">
        <f t="shared" si="11"/>
        <v>Normal</v>
      </c>
      <c r="M147">
        <f t="shared" si="12"/>
        <v>0</v>
      </c>
      <c r="N147" s="2" t="str">
        <f t="shared" si="13"/>
        <v>Normal</v>
      </c>
      <c r="O147" s="2">
        <f t="shared" si="14"/>
        <v>0</v>
      </c>
      <c r="P147" s="2" t="str">
        <f t="shared" si="15"/>
        <v>Normal</v>
      </c>
    </row>
    <row r="148" spans="1:16" x14ac:dyDescent="0.35">
      <c r="A148">
        <v>6201</v>
      </c>
      <c r="B148">
        <v>200499</v>
      </c>
      <c r="C148">
        <v>172250</v>
      </c>
      <c r="D148">
        <v>28249</v>
      </c>
      <c r="E148" s="1">
        <v>41791</v>
      </c>
      <c r="F148">
        <v>6</v>
      </c>
      <c r="G148" s="2" t="s">
        <v>11</v>
      </c>
      <c r="H148">
        <v>2014</v>
      </c>
      <c r="I148">
        <v>178451</v>
      </c>
      <c r="J148">
        <v>0</v>
      </c>
      <c r="K148">
        <f t="shared" si="10"/>
        <v>0.13058122387467794</v>
      </c>
      <c r="L148" t="str">
        <f t="shared" si="11"/>
        <v>Normal</v>
      </c>
      <c r="M148">
        <f t="shared" si="12"/>
        <v>0</v>
      </c>
      <c r="N148" s="2" t="str">
        <f t="shared" si="13"/>
        <v>Normal</v>
      </c>
      <c r="O148" s="2">
        <f t="shared" si="14"/>
        <v>0</v>
      </c>
      <c r="P148" s="2" t="str">
        <f t="shared" si="15"/>
        <v>Normal</v>
      </c>
    </row>
    <row r="149" spans="1:16" x14ac:dyDescent="0.35">
      <c r="A149">
        <v>700.92</v>
      </c>
      <c r="B149">
        <v>22663.08</v>
      </c>
      <c r="C149">
        <v>5841</v>
      </c>
      <c r="D149">
        <v>16822.080000000002</v>
      </c>
      <c r="E149" s="1">
        <v>41883</v>
      </c>
      <c r="F149">
        <v>9</v>
      </c>
      <c r="G149" s="2" t="s">
        <v>16</v>
      </c>
      <c r="H149">
        <v>2014</v>
      </c>
      <c r="I149">
        <v>6541.92</v>
      </c>
      <c r="J149">
        <v>0</v>
      </c>
      <c r="K149">
        <f t="shared" si="10"/>
        <v>-0.6211858871437036</v>
      </c>
      <c r="L149" t="str">
        <f t="shared" si="11"/>
        <v>Normal</v>
      </c>
      <c r="M149">
        <f t="shared" si="12"/>
        <v>0</v>
      </c>
      <c r="N149" s="2" t="str">
        <f t="shared" si="13"/>
        <v>Normal</v>
      </c>
      <c r="O149" s="2">
        <f t="shared" si="14"/>
        <v>0</v>
      </c>
      <c r="P149" s="2" t="str">
        <f t="shared" si="15"/>
        <v>Normal</v>
      </c>
    </row>
    <row r="150" spans="1:16" x14ac:dyDescent="0.35">
      <c r="A150">
        <v>326.88</v>
      </c>
      <c r="B150">
        <v>10569.12</v>
      </c>
      <c r="C150">
        <v>2724</v>
      </c>
      <c r="D150">
        <v>7845.1200000000008</v>
      </c>
      <c r="E150" s="1">
        <v>41609</v>
      </c>
      <c r="F150">
        <v>12</v>
      </c>
      <c r="G150" s="2" t="s">
        <v>12</v>
      </c>
      <c r="H150">
        <v>2013</v>
      </c>
      <c r="I150">
        <v>3050.88</v>
      </c>
      <c r="J150">
        <v>0</v>
      </c>
      <c r="K150">
        <f t="shared" si="10"/>
        <v>-0.6723107744554</v>
      </c>
      <c r="L150" t="str">
        <f t="shared" si="11"/>
        <v>Normal</v>
      </c>
      <c r="M150">
        <f t="shared" si="12"/>
        <v>0</v>
      </c>
      <c r="N150" s="2" t="str">
        <f t="shared" si="13"/>
        <v>Normal</v>
      </c>
      <c r="O150" s="2">
        <f t="shared" si="14"/>
        <v>0</v>
      </c>
      <c r="P150" s="2" t="str">
        <f t="shared" si="15"/>
        <v>Normal</v>
      </c>
    </row>
    <row r="151" spans="1:16" x14ac:dyDescent="0.35">
      <c r="A151">
        <v>411.18</v>
      </c>
      <c r="B151">
        <v>13294.82</v>
      </c>
      <c r="C151">
        <v>9790</v>
      </c>
      <c r="D151">
        <v>3504.8199999999997</v>
      </c>
      <c r="E151" s="1">
        <v>41671</v>
      </c>
      <c r="F151">
        <v>2</v>
      </c>
      <c r="G151" s="2" t="s">
        <v>18</v>
      </c>
      <c r="H151">
        <v>2014</v>
      </c>
      <c r="I151">
        <v>10201.18</v>
      </c>
      <c r="J151">
        <v>0</v>
      </c>
      <c r="K151">
        <f t="shared" si="10"/>
        <v>-0.66078840251556459</v>
      </c>
      <c r="L151" t="str">
        <f t="shared" si="11"/>
        <v>Normal</v>
      </c>
      <c r="M151">
        <f t="shared" si="12"/>
        <v>0</v>
      </c>
      <c r="N151" s="2" t="str">
        <f t="shared" si="13"/>
        <v>Normal</v>
      </c>
      <c r="O151" s="2">
        <f t="shared" si="14"/>
        <v>0</v>
      </c>
      <c r="P151" s="2" t="str">
        <f t="shared" si="15"/>
        <v>Normal</v>
      </c>
    </row>
    <row r="152" spans="1:16" x14ac:dyDescent="0.35">
      <c r="A152">
        <v>684.36</v>
      </c>
      <c r="B152">
        <v>22127.64</v>
      </c>
      <c r="C152">
        <v>5703</v>
      </c>
      <c r="D152">
        <v>16424.64</v>
      </c>
      <c r="E152" s="1">
        <v>41791</v>
      </c>
      <c r="F152">
        <v>6</v>
      </c>
      <c r="G152" s="2" t="s">
        <v>11</v>
      </c>
      <c r="H152">
        <v>2014</v>
      </c>
      <c r="I152">
        <v>6387.36</v>
      </c>
      <c r="J152">
        <v>0</v>
      </c>
      <c r="K152">
        <f t="shared" si="10"/>
        <v>-0.62344935664932255</v>
      </c>
      <c r="L152" t="str">
        <f t="shared" si="11"/>
        <v>Normal</v>
      </c>
      <c r="M152">
        <f t="shared" si="12"/>
        <v>0</v>
      </c>
      <c r="N152" s="2" t="str">
        <f t="shared" si="13"/>
        <v>Normal</v>
      </c>
      <c r="O152" s="2">
        <f t="shared" si="14"/>
        <v>0</v>
      </c>
      <c r="P152" s="2" t="str">
        <f t="shared" si="15"/>
        <v>Normal</v>
      </c>
    </row>
    <row r="153" spans="1:16" x14ac:dyDescent="0.35">
      <c r="A153">
        <v>114.24</v>
      </c>
      <c r="B153">
        <v>3693.76</v>
      </c>
      <c r="C153">
        <v>2720</v>
      </c>
      <c r="D153">
        <v>973.76000000000022</v>
      </c>
      <c r="E153" s="1">
        <v>41883</v>
      </c>
      <c r="F153">
        <v>9</v>
      </c>
      <c r="G153" s="2" t="s">
        <v>16</v>
      </c>
      <c r="H153">
        <v>2014</v>
      </c>
      <c r="I153">
        <v>2834.24</v>
      </c>
      <c r="J153">
        <v>0</v>
      </c>
      <c r="K153">
        <f t="shared" si="10"/>
        <v>-0.70137503506378174</v>
      </c>
      <c r="L153" t="str">
        <f t="shared" si="11"/>
        <v>Normal</v>
      </c>
      <c r="M153">
        <f t="shared" si="12"/>
        <v>0</v>
      </c>
      <c r="N153" s="2" t="str">
        <f t="shared" si="13"/>
        <v>Normal</v>
      </c>
      <c r="O153" s="2">
        <f t="shared" si="14"/>
        <v>0</v>
      </c>
      <c r="P153" s="2" t="str">
        <f t="shared" si="15"/>
        <v>Normal</v>
      </c>
    </row>
    <row r="154" spans="1:16" x14ac:dyDescent="0.35">
      <c r="A154">
        <v>18868.5</v>
      </c>
      <c r="B154">
        <v>610081.5</v>
      </c>
      <c r="C154">
        <v>467220</v>
      </c>
      <c r="D154">
        <v>142861.5</v>
      </c>
      <c r="E154" s="1">
        <v>41518</v>
      </c>
      <c r="F154">
        <v>9</v>
      </c>
      <c r="G154" s="2" t="s">
        <v>16</v>
      </c>
      <c r="H154">
        <v>2013</v>
      </c>
      <c r="I154">
        <v>486088.5</v>
      </c>
      <c r="J154">
        <v>0</v>
      </c>
      <c r="K154">
        <f t="shared" si="10"/>
        <v>1.8620123810260916</v>
      </c>
      <c r="L154" t="str">
        <f t="shared" si="11"/>
        <v>Normal</v>
      </c>
      <c r="M154">
        <f t="shared" si="12"/>
        <v>0</v>
      </c>
      <c r="N154" s="2" t="str">
        <f t="shared" si="13"/>
        <v>Normal</v>
      </c>
      <c r="O154" s="2">
        <f t="shared" si="14"/>
        <v>0</v>
      </c>
      <c r="P154" s="2" t="str">
        <f t="shared" si="15"/>
        <v>Normal</v>
      </c>
    </row>
    <row r="155" spans="1:16" x14ac:dyDescent="0.35">
      <c r="A155">
        <v>4826.25</v>
      </c>
      <c r="B155">
        <v>156048.75</v>
      </c>
      <c r="C155">
        <v>154440</v>
      </c>
      <c r="D155">
        <v>1608.75</v>
      </c>
      <c r="E155" s="1">
        <v>41974</v>
      </c>
      <c r="F155">
        <v>12</v>
      </c>
      <c r="G155" s="2" t="s">
        <v>12</v>
      </c>
      <c r="H155">
        <v>2014</v>
      </c>
      <c r="I155">
        <v>159266.25</v>
      </c>
      <c r="J155">
        <v>0</v>
      </c>
      <c r="K155">
        <f t="shared" si="10"/>
        <v>-5.7323649485804075E-2</v>
      </c>
      <c r="L155" t="str">
        <f t="shared" si="11"/>
        <v>Normal</v>
      </c>
      <c r="M155">
        <f t="shared" si="12"/>
        <v>0</v>
      </c>
      <c r="N155" s="2" t="str">
        <f t="shared" si="13"/>
        <v>Normal</v>
      </c>
      <c r="O155" s="2">
        <f t="shared" si="14"/>
        <v>0</v>
      </c>
      <c r="P155" s="2" t="str">
        <f t="shared" si="15"/>
        <v>Normal</v>
      </c>
    </row>
    <row r="156" spans="1:16" x14ac:dyDescent="0.35">
      <c r="A156">
        <v>6397.5</v>
      </c>
      <c r="B156">
        <v>206852.5</v>
      </c>
      <c r="C156">
        <v>204720</v>
      </c>
      <c r="D156">
        <v>2132.5</v>
      </c>
      <c r="E156" s="1">
        <v>41974</v>
      </c>
      <c r="F156">
        <v>12</v>
      </c>
      <c r="G156" s="2" t="s">
        <v>12</v>
      </c>
      <c r="H156">
        <v>2014</v>
      </c>
      <c r="I156">
        <v>211117.5</v>
      </c>
      <c r="J156">
        <v>0</v>
      </c>
      <c r="K156">
        <f t="shared" si="10"/>
        <v>0.1574394218127283</v>
      </c>
      <c r="L156" t="str">
        <f t="shared" si="11"/>
        <v>Normal</v>
      </c>
      <c r="M156">
        <f t="shared" si="12"/>
        <v>0</v>
      </c>
      <c r="N156" s="2" t="str">
        <f t="shared" si="13"/>
        <v>Normal</v>
      </c>
      <c r="O156" s="2">
        <f t="shared" si="14"/>
        <v>0</v>
      </c>
      <c r="P156" s="2" t="str">
        <f t="shared" si="15"/>
        <v>Normal</v>
      </c>
    </row>
    <row r="157" spans="1:16" x14ac:dyDescent="0.35">
      <c r="A157">
        <v>21910.5</v>
      </c>
      <c r="B157">
        <v>708439.5</v>
      </c>
      <c r="C157">
        <v>608625</v>
      </c>
      <c r="D157">
        <v>99814.5</v>
      </c>
      <c r="E157" s="1">
        <v>41640</v>
      </c>
      <c r="F157">
        <v>1</v>
      </c>
      <c r="G157" s="2" t="s">
        <v>10</v>
      </c>
      <c r="H157">
        <v>2014</v>
      </c>
      <c r="I157">
        <v>630535.5</v>
      </c>
      <c r="J157">
        <v>0</v>
      </c>
      <c r="K157">
        <f t="shared" si="10"/>
        <v>2.2778018880365196</v>
      </c>
      <c r="L157" t="str">
        <f t="shared" si="11"/>
        <v>Normal</v>
      </c>
      <c r="M157">
        <f t="shared" si="12"/>
        <v>0</v>
      </c>
      <c r="N157" s="2" t="str">
        <f t="shared" si="13"/>
        <v>Normal</v>
      </c>
      <c r="O157" s="2">
        <f t="shared" si="14"/>
        <v>0</v>
      </c>
      <c r="P157" s="2" t="str">
        <f t="shared" si="15"/>
        <v>Normal</v>
      </c>
    </row>
    <row r="158" spans="1:16" x14ac:dyDescent="0.35">
      <c r="A158">
        <v>6652.5</v>
      </c>
      <c r="B158">
        <v>215097.5</v>
      </c>
      <c r="C158">
        <v>212880</v>
      </c>
      <c r="D158">
        <v>2217.5</v>
      </c>
      <c r="E158" s="1">
        <v>41699</v>
      </c>
      <c r="F158">
        <v>3</v>
      </c>
      <c r="G158" s="2" t="s">
        <v>13</v>
      </c>
      <c r="H158">
        <v>2014</v>
      </c>
      <c r="I158">
        <v>219532.5</v>
      </c>
      <c r="J158">
        <v>0</v>
      </c>
      <c r="K158">
        <f t="shared" si="10"/>
        <v>0.19229357180867149</v>
      </c>
      <c r="L158" t="str">
        <f t="shared" si="11"/>
        <v>Normal</v>
      </c>
      <c r="M158">
        <f t="shared" si="12"/>
        <v>0</v>
      </c>
      <c r="N158" s="2" t="str">
        <f t="shared" si="13"/>
        <v>Normal</v>
      </c>
      <c r="O158" s="2">
        <f t="shared" si="14"/>
        <v>0</v>
      </c>
      <c r="P158" s="2" t="str">
        <f t="shared" si="15"/>
        <v>Normal</v>
      </c>
    </row>
    <row r="159" spans="1:16" x14ac:dyDescent="0.35">
      <c r="A159">
        <v>684.36</v>
      </c>
      <c r="B159">
        <v>22127.64</v>
      </c>
      <c r="C159">
        <v>5703</v>
      </c>
      <c r="D159">
        <v>16424.64</v>
      </c>
      <c r="E159" s="1">
        <v>41791</v>
      </c>
      <c r="F159">
        <v>6</v>
      </c>
      <c r="G159" s="2" t="s">
        <v>11</v>
      </c>
      <c r="H159">
        <v>2014</v>
      </c>
      <c r="I159">
        <v>6387.36</v>
      </c>
      <c r="J159">
        <v>0</v>
      </c>
      <c r="K159">
        <f t="shared" si="10"/>
        <v>-0.62344935664932255</v>
      </c>
      <c r="L159" t="str">
        <f t="shared" si="11"/>
        <v>Normal</v>
      </c>
      <c r="M159">
        <f t="shared" si="12"/>
        <v>0</v>
      </c>
      <c r="N159" s="2" t="str">
        <f t="shared" si="13"/>
        <v>Normal</v>
      </c>
      <c r="O159" s="2">
        <f t="shared" si="14"/>
        <v>0</v>
      </c>
      <c r="P159" s="2" t="str">
        <f t="shared" si="15"/>
        <v>Normal</v>
      </c>
    </row>
    <row r="160" spans="1:16" x14ac:dyDescent="0.35">
      <c r="A160">
        <v>6201</v>
      </c>
      <c r="B160">
        <v>200499</v>
      </c>
      <c r="C160">
        <v>172250</v>
      </c>
      <c r="D160">
        <v>28249</v>
      </c>
      <c r="E160" s="1">
        <v>41791</v>
      </c>
      <c r="F160">
        <v>6</v>
      </c>
      <c r="G160" s="2" t="s">
        <v>11</v>
      </c>
      <c r="H160">
        <v>2014</v>
      </c>
      <c r="I160">
        <v>178451</v>
      </c>
      <c r="J160">
        <v>0</v>
      </c>
      <c r="K160">
        <f t="shared" si="10"/>
        <v>0.13058122387467794</v>
      </c>
      <c r="L160" t="str">
        <f t="shared" si="11"/>
        <v>Normal</v>
      </c>
      <c r="M160">
        <f t="shared" si="12"/>
        <v>0</v>
      </c>
      <c r="N160" s="2" t="str">
        <f t="shared" si="13"/>
        <v>Normal</v>
      </c>
      <c r="O160" s="2">
        <f t="shared" si="14"/>
        <v>0</v>
      </c>
      <c r="P160" s="2" t="str">
        <f t="shared" si="15"/>
        <v>Normal</v>
      </c>
    </row>
    <row r="161" spans="1:16" x14ac:dyDescent="0.35">
      <c r="A161">
        <v>5887.5</v>
      </c>
      <c r="B161">
        <v>190362.5</v>
      </c>
      <c r="C161">
        <v>188400</v>
      </c>
      <c r="D161">
        <v>1962.5</v>
      </c>
      <c r="E161" s="1">
        <v>41791</v>
      </c>
      <c r="F161">
        <v>6</v>
      </c>
      <c r="G161" s="2" t="s">
        <v>11</v>
      </c>
      <c r="H161">
        <v>2014</v>
      </c>
      <c r="I161">
        <v>194287.5</v>
      </c>
      <c r="J161">
        <v>0</v>
      </c>
      <c r="K161">
        <f t="shared" si="10"/>
        <v>8.773112182084189E-2</v>
      </c>
      <c r="L161" t="str">
        <f t="shared" si="11"/>
        <v>Normal</v>
      </c>
      <c r="M161">
        <f t="shared" si="12"/>
        <v>0</v>
      </c>
      <c r="N161" s="2" t="str">
        <f t="shared" si="13"/>
        <v>Normal</v>
      </c>
      <c r="O161" s="2">
        <f t="shared" si="14"/>
        <v>0</v>
      </c>
      <c r="P161" s="2" t="str">
        <f t="shared" si="15"/>
        <v>Normal</v>
      </c>
    </row>
    <row r="162" spans="1:16" x14ac:dyDescent="0.35">
      <c r="A162">
        <v>493.02</v>
      </c>
      <c r="B162">
        <v>15940.98</v>
      </c>
      <c r="C162">
        <v>4108.5</v>
      </c>
      <c r="D162">
        <v>11832.48</v>
      </c>
      <c r="E162" s="1">
        <v>41821</v>
      </c>
      <c r="F162">
        <v>7</v>
      </c>
      <c r="G162" s="2" t="s">
        <v>14</v>
      </c>
      <c r="H162">
        <v>2014</v>
      </c>
      <c r="I162">
        <v>4601.5200000000004</v>
      </c>
      <c r="J162">
        <v>0</v>
      </c>
      <c r="K162">
        <f t="shared" si="10"/>
        <v>-0.64960227061098419</v>
      </c>
      <c r="L162" t="str">
        <f t="shared" si="11"/>
        <v>Normal</v>
      </c>
      <c r="M162">
        <f t="shared" si="12"/>
        <v>0</v>
      </c>
      <c r="N162" s="2" t="str">
        <f t="shared" si="13"/>
        <v>Normal</v>
      </c>
      <c r="O162" s="2">
        <f t="shared" si="14"/>
        <v>0</v>
      </c>
      <c r="P162" s="2" t="str">
        <f t="shared" si="15"/>
        <v>Normal</v>
      </c>
    </row>
    <row r="163" spans="1:16" x14ac:dyDescent="0.35">
      <c r="A163">
        <v>7533.75</v>
      </c>
      <c r="B163">
        <v>243591.25</v>
      </c>
      <c r="C163">
        <v>241080</v>
      </c>
      <c r="D163">
        <v>2511.25</v>
      </c>
      <c r="E163" s="1">
        <v>41913</v>
      </c>
      <c r="F163">
        <v>10</v>
      </c>
      <c r="G163" s="2" t="s">
        <v>17</v>
      </c>
      <c r="H163">
        <v>2014</v>
      </c>
      <c r="I163">
        <v>248613.75</v>
      </c>
      <c r="J163">
        <v>0</v>
      </c>
      <c r="K163">
        <f t="shared" si="10"/>
        <v>0.3127454137064164</v>
      </c>
      <c r="L163" t="str">
        <f t="shared" si="11"/>
        <v>Normal</v>
      </c>
      <c r="M163">
        <f t="shared" si="12"/>
        <v>0</v>
      </c>
      <c r="N163" s="2" t="str">
        <f t="shared" si="13"/>
        <v>Normal</v>
      </c>
      <c r="O163" s="2">
        <f t="shared" si="14"/>
        <v>0</v>
      </c>
      <c r="P163" s="2" t="str">
        <f t="shared" si="15"/>
        <v>Normal</v>
      </c>
    </row>
    <row r="164" spans="1:16" x14ac:dyDescent="0.35">
      <c r="A164">
        <v>875.25</v>
      </c>
      <c r="B164">
        <v>28299.75</v>
      </c>
      <c r="C164">
        <v>19450</v>
      </c>
      <c r="D164">
        <v>8849.75</v>
      </c>
      <c r="E164" s="1">
        <v>41548</v>
      </c>
      <c r="F164">
        <v>10</v>
      </c>
      <c r="G164" s="2" t="s">
        <v>17</v>
      </c>
      <c r="H164">
        <v>2013</v>
      </c>
      <c r="I164">
        <v>20325.25</v>
      </c>
      <c r="J164">
        <v>0</v>
      </c>
      <c r="K164">
        <f t="shared" si="10"/>
        <v>-0.59735795001118286</v>
      </c>
      <c r="L164" t="str">
        <f t="shared" si="11"/>
        <v>Normal</v>
      </c>
      <c r="M164">
        <f t="shared" si="12"/>
        <v>0</v>
      </c>
      <c r="N164" s="2" t="str">
        <f t="shared" si="13"/>
        <v>Normal</v>
      </c>
      <c r="O164" s="2">
        <f t="shared" si="14"/>
        <v>0</v>
      </c>
      <c r="P164" s="2" t="str">
        <f t="shared" si="15"/>
        <v>Normal</v>
      </c>
    </row>
    <row r="165" spans="1:16" x14ac:dyDescent="0.35">
      <c r="A165">
        <v>4826.25</v>
      </c>
      <c r="B165">
        <v>156048.75</v>
      </c>
      <c r="C165">
        <v>154440</v>
      </c>
      <c r="D165">
        <v>1608.75</v>
      </c>
      <c r="E165" s="1">
        <v>41974</v>
      </c>
      <c r="F165">
        <v>12</v>
      </c>
      <c r="G165" s="2" t="s">
        <v>12</v>
      </c>
      <c r="H165">
        <v>2014</v>
      </c>
      <c r="I165">
        <v>159266.25</v>
      </c>
      <c r="J165">
        <v>0</v>
      </c>
      <c r="K165">
        <f t="shared" si="10"/>
        <v>-5.7323649485804075E-2</v>
      </c>
      <c r="L165" t="str">
        <f t="shared" si="11"/>
        <v>Normal</v>
      </c>
      <c r="M165">
        <f t="shared" si="12"/>
        <v>0</v>
      </c>
      <c r="N165" s="2" t="str">
        <f t="shared" si="13"/>
        <v>Normal</v>
      </c>
      <c r="O165" s="2">
        <f t="shared" si="14"/>
        <v>0</v>
      </c>
      <c r="P165" s="2" t="str">
        <f t="shared" si="15"/>
        <v>Normal</v>
      </c>
    </row>
    <row r="166" spans="1:16" x14ac:dyDescent="0.35">
      <c r="A166">
        <v>6397.5</v>
      </c>
      <c r="B166">
        <v>206852.5</v>
      </c>
      <c r="C166">
        <v>204720</v>
      </c>
      <c r="D166">
        <v>2132.5</v>
      </c>
      <c r="E166" s="1">
        <v>41974</v>
      </c>
      <c r="F166">
        <v>12</v>
      </c>
      <c r="G166" s="2" t="s">
        <v>12</v>
      </c>
      <c r="H166">
        <v>2014</v>
      </c>
      <c r="I166">
        <v>211117.5</v>
      </c>
      <c r="J166">
        <v>0</v>
      </c>
      <c r="K166">
        <f t="shared" si="10"/>
        <v>0.1574394218127283</v>
      </c>
      <c r="L166" t="str">
        <f t="shared" si="11"/>
        <v>Normal</v>
      </c>
      <c r="M166">
        <f t="shared" si="12"/>
        <v>0</v>
      </c>
      <c r="N166" s="2" t="str">
        <f t="shared" si="13"/>
        <v>Normal</v>
      </c>
      <c r="O166" s="2">
        <f t="shared" si="14"/>
        <v>0</v>
      </c>
      <c r="P166" s="2" t="str">
        <f t="shared" si="15"/>
        <v>Normal</v>
      </c>
    </row>
    <row r="167" spans="1:16" x14ac:dyDescent="0.35">
      <c r="A167">
        <v>7533.75</v>
      </c>
      <c r="B167">
        <v>243591.25</v>
      </c>
      <c r="C167">
        <v>241080</v>
      </c>
      <c r="D167">
        <v>2511.25</v>
      </c>
      <c r="E167" s="1">
        <v>41913</v>
      </c>
      <c r="F167">
        <v>10</v>
      </c>
      <c r="G167" s="2" t="s">
        <v>17</v>
      </c>
      <c r="H167">
        <v>2014</v>
      </c>
      <c r="I167">
        <v>248613.75</v>
      </c>
      <c r="J167">
        <v>0</v>
      </c>
      <c r="K167">
        <f t="shared" si="10"/>
        <v>0.3127454137064164</v>
      </c>
      <c r="L167" t="str">
        <f t="shared" si="11"/>
        <v>Normal</v>
      </c>
      <c r="M167">
        <f t="shared" si="12"/>
        <v>0</v>
      </c>
      <c r="N167" s="2" t="str">
        <f t="shared" si="13"/>
        <v>Normal</v>
      </c>
      <c r="O167" s="2">
        <f t="shared" si="14"/>
        <v>0</v>
      </c>
      <c r="P167" s="2" t="str">
        <f t="shared" si="15"/>
        <v>Normal</v>
      </c>
    </row>
    <row r="168" spans="1:16" x14ac:dyDescent="0.35">
      <c r="A168">
        <v>25596</v>
      </c>
      <c r="B168">
        <v>827604</v>
      </c>
      <c r="C168">
        <v>711000</v>
      </c>
      <c r="D168">
        <v>116604</v>
      </c>
      <c r="E168" s="1">
        <v>41671</v>
      </c>
      <c r="F168">
        <v>2</v>
      </c>
      <c r="G168" s="2" t="s">
        <v>18</v>
      </c>
      <c r="H168">
        <v>2014</v>
      </c>
      <c r="I168">
        <v>736596</v>
      </c>
      <c r="J168">
        <v>0</v>
      </c>
      <c r="K168">
        <f t="shared" si="10"/>
        <v>2.7815468676837694</v>
      </c>
      <c r="L168" t="str">
        <f t="shared" si="11"/>
        <v>Normal</v>
      </c>
      <c r="M168">
        <f t="shared" si="12"/>
        <v>0</v>
      </c>
      <c r="N168" s="2" t="str">
        <f t="shared" si="13"/>
        <v>Normal</v>
      </c>
      <c r="O168" s="2">
        <f t="shared" si="14"/>
        <v>0</v>
      </c>
      <c r="P168" s="2" t="str">
        <f t="shared" si="15"/>
        <v>Normal</v>
      </c>
    </row>
    <row r="169" spans="1:16" x14ac:dyDescent="0.35">
      <c r="A169">
        <v>689.76</v>
      </c>
      <c r="B169">
        <v>22302.240000000002</v>
      </c>
      <c r="C169">
        <v>5748</v>
      </c>
      <c r="D169">
        <v>16554.240000000002</v>
      </c>
      <c r="E169" s="1">
        <v>41730</v>
      </c>
      <c r="F169">
        <v>4</v>
      </c>
      <c r="G169" s="2" t="s">
        <v>20</v>
      </c>
      <c r="H169">
        <v>2014</v>
      </c>
      <c r="I169">
        <v>6437.76</v>
      </c>
      <c r="J169">
        <v>0</v>
      </c>
      <c r="K169">
        <f t="shared" si="10"/>
        <v>-0.6227112687670554</v>
      </c>
      <c r="L169" t="str">
        <f t="shared" si="11"/>
        <v>Normal</v>
      </c>
      <c r="M169">
        <f t="shared" si="12"/>
        <v>0</v>
      </c>
      <c r="N169" s="2" t="str">
        <f t="shared" si="13"/>
        <v>Normal</v>
      </c>
      <c r="O169" s="2">
        <f t="shared" si="14"/>
        <v>0</v>
      </c>
      <c r="P169" s="2" t="str">
        <f t="shared" si="15"/>
        <v>Normal</v>
      </c>
    </row>
    <row r="170" spans="1:16" x14ac:dyDescent="0.35">
      <c r="A170">
        <v>5887.5</v>
      </c>
      <c r="B170">
        <v>190362.5</v>
      </c>
      <c r="C170">
        <v>188400</v>
      </c>
      <c r="D170">
        <v>1962.5</v>
      </c>
      <c r="E170" s="1">
        <v>41791</v>
      </c>
      <c r="F170">
        <v>6</v>
      </c>
      <c r="G170" s="2" t="s">
        <v>11</v>
      </c>
      <c r="H170">
        <v>2014</v>
      </c>
      <c r="I170">
        <v>194287.5</v>
      </c>
      <c r="J170">
        <v>0</v>
      </c>
      <c r="K170">
        <f t="shared" si="10"/>
        <v>8.773112182084189E-2</v>
      </c>
      <c r="L170" t="str">
        <f t="shared" si="11"/>
        <v>Normal</v>
      </c>
      <c r="M170">
        <f t="shared" si="12"/>
        <v>0</v>
      </c>
      <c r="N170" s="2" t="str">
        <f t="shared" si="13"/>
        <v>Normal</v>
      </c>
      <c r="O170" s="2">
        <f t="shared" si="14"/>
        <v>0</v>
      </c>
      <c r="P170" s="2" t="str">
        <f t="shared" si="15"/>
        <v>Normal</v>
      </c>
    </row>
    <row r="171" spans="1:16" x14ac:dyDescent="0.35">
      <c r="A171">
        <v>16866</v>
      </c>
      <c r="B171">
        <v>545334</v>
      </c>
      <c r="C171">
        <v>468500</v>
      </c>
      <c r="D171">
        <v>76834</v>
      </c>
      <c r="E171" s="1">
        <v>41852</v>
      </c>
      <c r="F171">
        <v>8</v>
      </c>
      <c r="G171" s="2" t="s">
        <v>15</v>
      </c>
      <c r="H171">
        <v>2014</v>
      </c>
      <c r="I171">
        <v>485366</v>
      </c>
      <c r="J171">
        <v>0</v>
      </c>
      <c r="K171">
        <f t="shared" si="10"/>
        <v>1.5883047913520669</v>
      </c>
      <c r="L171" t="str">
        <f t="shared" si="11"/>
        <v>Normal</v>
      </c>
      <c r="M171">
        <f t="shared" si="12"/>
        <v>0</v>
      </c>
      <c r="N171" s="2" t="str">
        <f t="shared" si="13"/>
        <v>Normal</v>
      </c>
      <c r="O171" s="2">
        <f t="shared" si="14"/>
        <v>0</v>
      </c>
      <c r="P171" s="2" t="str">
        <f t="shared" si="15"/>
        <v>Normal</v>
      </c>
    </row>
    <row r="172" spans="1:16" x14ac:dyDescent="0.35">
      <c r="A172">
        <v>17241</v>
      </c>
      <c r="B172">
        <v>557459</v>
      </c>
      <c r="C172">
        <v>426920</v>
      </c>
      <c r="D172">
        <v>130539</v>
      </c>
      <c r="E172" s="1">
        <v>41852</v>
      </c>
      <c r="F172">
        <v>8</v>
      </c>
      <c r="G172" s="2" t="s">
        <v>15</v>
      </c>
      <c r="H172">
        <v>2014</v>
      </c>
      <c r="I172">
        <v>444161</v>
      </c>
      <c r="J172">
        <v>0</v>
      </c>
      <c r="K172">
        <f t="shared" si="10"/>
        <v>1.6395608942872775</v>
      </c>
      <c r="L172" t="str">
        <f t="shared" si="11"/>
        <v>Normal</v>
      </c>
      <c r="M172">
        <f t="shared" si="12"/>
        <v>0</v>
      </c>
      <c r="N172" s="2" t="str">
        <f t="shared" si="13"/>
        <v>Normal</v>
      </c>
      <c r="O172" s="2">
        <f t="shared" si="14"/>
        <v>0</v>
      </c>
      <c r="P172" s="2" t="str">
        <f t="shared" si="15"/>
        <v>Normal</v>
      </c>
    </row>
    <row r="173" spans="1:16" x14ac:dyDescent="0.35">
      <c r="A173">
        <v>875.25</v>
      </c>
      <c r="B173">
        <v>28299.75</v>
      </c>
      <c r="C173">
        <v>19450</v>
      </c>
      <c r="D173">
        <v>8849.75</v>
      </c>
      <c r="E173" s="1">
        <v>41548</v>
      </c>
      <c r="F173">
        <v>10</v>
      </c>
      <c r="G173" s="2" t="s">
        <v>17</v>
      </c>
      <c r="H173">
        <v>2013</v>
      </c>
      <c r="I173">
        <v>20325.25</v>
      </c>
      <c r="J173">
        <v>0</v>
      </c>
      <c r="K173">
        <f t="shared" si="10"/>
        <v>-0.59735795001118286</v>
      </c>
      <c r="L173" t="str">
        <f t="shared" si="11"/>
        <v>Normal</v>
      </c>
      <c r="M173">
        <f t="shared" si="12"/>
        <v>0</v>
      </c>
      <c r="N173" s="2" t="str">
        <f t="shared" si="13"/>
        <v>Normal</v>
      </c>
      <c r="O173" s="2">
        <f t="shared" si="14"/>
        <v>0</v>
      </c>
      <c r="P173" s="2" t="str">
        <f t="shared" si="15"/>
        <v>Normal</v>
      </c>
    </row>
    <row r="174" spans="1:16" x14ac:dyDescent="0.35">
      <c r="A174">
        <v>498.6</v>
      </c>
      <c r="B174">
        <v>16121.4</v>
      </c>
      <c r="C174">
        <v>8310</v>
      </c>
      <c r="D174">
        <v>7811.4</v>
      </c>
      <c r="E174" s="1">
        <v>41760</v>
      </c>
      <c r="F174">
        <v>5</v>
      </c>
      <c r="G174" s="2" t="s">
        <v>21</v>
      </c>
      <c r="H174">
        <v>2014</v>
      </c>
      <c r="I174">
        <v>8808.6</v>
      </c>
      <c r="J174">
        <v>0</v>
      </c>
      <c r="K174">
        <f t="shared" si="10"/>
        <v>-0.6488395797993084</v>
      </c>
      <c r="L174" t="str">
        <f t="shared" si="11"/>
        <v>Normal</v>
      </c>
      <c r="M174">
        <f t="shared" si="12"/>
        <v>0</v>
      </c>
      <c r="N174" s="2" t="str">
        <f t="shared" si="13"/>
        <v>Normal</v>
      </c>
      <c r="O174" s="2">
        <f t="shared" si="14"/>
        <v>0</v>
      </c>
      <c r="P174" s="2" t="str">
        <f t="shared" si="15"/>
        <v>Normal</v>
      </c>
    </row>
    <row r="175" spans="1:16" x14ac:dyDescent="0.35">
      <c r="A175">
        <v>369.6</v>
      </c>
      <c r="B175">
        <v>11950.4</v>
      </c>
      <c r="C175">
        <v>8800</v>
      </c>
      <c r="D175">
        <v>3150.3999999999996</v>
      </c>
      <c r="E175" s="1">
        <v>41518</v>
      </c>
      <c r="F175">
        <v>9</v>
      </c>
      <c r="G175" s="2" t="s">
        <v>16</v>
      </c>
      <c r="H175">
        <v>2013</v>
      </c>
      <c r="I175">
        <v>9169.6</v>
      </c>
      <c r="J175">
        <v>0</v>
      </c>
      <c r="K175">
        <f t="shared" si="10"/>
        <v>-0.66647167920902084</v>
      </c>
      <c r="L175" t="str">
        <f t="shared" si="11"/>
        <v>Normal</v>
      </c>
      <c r="M175">
        <f t="shared" si="12"/>
        <v>0</v>
      </c>
      <c r="N175" s="2" t="str">
        <f t="shared" si="13"/>
        <v>Normal</v>
      </c>
      <c r="O175" s="2">
        <f t="shared" si="14"/>
        <v>0</v>
      </c>
      <c r="P175" s="2" t="str">
        <f t="shared" si="15"/>
        <v>Normal</v>
      </c>
    </row>
    <row r="176" spans="1:16" x14ac:dyDescent="0.35">
      <c r="A176">
        <v>2310.3000000000002</v>
      </c>
      <c r="B176">
        <v>74699.700000000012</v>
      </c>
      <c r="C176">
        <v>38505</v>
      </c>
      <c r="D176">
        <v>36194.700000000004</v>
      </c>
      <c r="E176" s="1">
        <v>41730</v>
      </c>
      <c r="F176">
        <v>4</v>
      </c>
      <c r="G176" s="2" t="s">
        <v>20</v>
      </c>
      <c r="H176">
        <v>2014</v>
      </c>
      <c r="I176">
        <v>40815.300000000003</v>
      </c>
      <c r="J176">
        <v>0</v>
      </c>
      <c r="K176">
        <f t="shared" si="10"/>
        <v>-0.4012110952987189</v>
      </c>
      <c r="L176" t="str">
        <f t="shared" si="11"/>
        <v>Normal</v>
      </c>
      <c r="M176">
        <f t="shared" si="12"/>
        <v>0</v>
      </c>
      <c r="N176" s="2" t="str">
        <f t="shared" si="13"/>
        <v>Normal</v>
      </c>
      <c r="O176" s="2">
        <f t="shared" si="14"/>
        <v>0</v>
      </c>
      <c r="P176" s="2" t="str">
        <f t="shared" si="15"/>
        <v>Normal</v>
      </c>
    </row>
    <row r="177" spans="1:16" x14ac:dyDescent="0.35">
      <c r="A177">
        <v>892.44</v>
      </c>
      <c r="B177">
        <v>28855.56</v>
      </c>
      <c r="C177">
        <v>7437</v>
      </c>
      <c r="D177">
        <v>21418.560000000001</v>
      </c>
      <c r="E177" s="1">
        <v>41640</v>
      </c>
      <c r="F177">
        <v>1</v>
      </c>
      <c r="G177" s="2" t="s">
        <v>10</v>
      </c>
      <c r="H177">
        <v>2014</v>
      </c>
      <c r="I177">
        <v>8329.44</v>
      </c>
      <c r="J177">
        <v>0</v>
      </c>
      <c r="K177">
        <f t="shared" si="10"/>
        <v>-0.59500837025263276</v>
      </c>
      <c r="L177" t="str">
        <f t="shared" si="11"/>
        <v>Normal</v>
      </c>
      <c r="M177">
        <f t="shared" si="12"/>
        <v>0</v>
      </c>
      <c r="N177" s="2" t="str">
        <f t="shared" si="13"/>
        <v>Normal</v>
      </c>
      <c r="O177" s="2">
        <f t="shared" si="14"/>
        <v>0</v>
      </c>
      <c r="P177" s="2" t="str">
        <f t="shared" si="15"/>
        <v>Normal</v>
      </c>
    </row>
    <row r="178" spans="1:16" x14ac:dyDescent="0.35">
      <c r="A178">
        <v>1218.5999999999999</v>
      </c>
      <c r="B178">
        <v>29246.400000000001</v>
      </c>
      <c r="C178">
        <v>20310</v>
      </c>
      <c r="D178">
        <v>8936.4000000000015</v>
      </c>
      <c r="E178" s="1">
        <v>41913</v>
      </c>
      <c r="F178">
        <v>10</v>
      </c>
      <c r="G178" s="2" t="s">
        <v>17</v>
      </c>
      <c r="H178">
        <v>2014</v>
      </c>
      <c r="I178">
        <v>21528.6</v>
      </c>
      <c r="J178">
        <v>0</v>
      </c>
      <c r="K178">
        <f t="shared" si="10"/>
        <v>-0.59335616940552371</v>
      </c>
      <c r="L178" t="str">
        <f t="shared" si="11"/>
        <v>Normal</v>
      </c>
      <c r="M178">
        <f t="shared" si="12"/>
        <v>0</v>
      </c>
      <c r="N178" s="2" t="str">
        <f t="shared" si="13"/>
        <v>Normal</v>
      </c>
      <c r="O178" s="2">
        <f t="shared" si="14"/>
        <v>0</v>
      </c>
      <c r="P178" s="2" t="str">
        <f t="shared" si="15"/>
        <v>Normal</v>
      </c>
    </row>
    <row r="179" spans="1:16" x14ac:dyDescent="0.35">
      <c r="A179">
        <v>1218.5999999999999</v>
      </c>
      <c r="B179">
        <v>29246.400000000001</v>
      </c>
      <c r="C179">
        <v>20310</v>
      </c>
      <c r="D179">
        <v>8936.4000000000015</v>
      </c>
      <c r="E179" s="1">
        <v>41913</v>
      </c>
      <c r="F179">
        <v>10</v>
      </c>
      <c r="G179" s="2" t="s">
        <v>17</v>
      </c>
      <c r="H179">
        <v>2014</v>
      </c>
      <c r="I179">
        <v>21528.6</v>
      </c>
      <c r="J179">
        <v>0</v>
      </c>
      <c r="K179">
        <f t="shared" si="10"/>
        <v>-0.59335616940552371</v>
      </c>
      <c r="L179" t="str">
        <f t="shared" si="11"/>
        <v>Normal</v>
      </c>
      <c r="M179">
        <f t="shared" si="12"/>
        <v>0</v>
      </c>
      <c r="N179" s="2" t="str">
        <f t="shared" si="13"/>
        <v>Normal</v>
      </c>
      <c r="O179" s="2">
        <f t="shared" si="14"/>
        <v>0</v>
      </c>
      <c r="P179" s="2" t="str">
        <f t="shared" si="15"/>
        <v>Normal</v>
      </c>
    </row>
    <row r="180" spans="1:16" x14ac:dyDescent="0.35">
      <c r="A180">
        <v>1356.6</v>
      </c>
      <c r="B180">
        <v>32558.400000000001</v>
      </c>
      <c r="C180">
        <v>22610</v>
      </c>
      <c r="D180">
        <v>9948.4000000000015</v>
      </c>
      <c r="E180" s="1">
        <v>41609</v>
      </c>
      <c r="F180">
        <v>12</v>
      </c>
      <c r="G180" s="2" t="s">
        <v>12</v>
      </c>
      <c r="H180">
        <v>2013</v>
      </c>
      <c r="I180">
        <v>23966.6</v>
      </c>
      <c r="J180">
        <v>0</v>
      </c>
      <c r="K180">
        <f t="shared" si="10"/>
        <v>-0.57935532710272641</v>
      </c>
      <c r="L180" t="str">
        <f t="shared" si="11"/>
        <v>Normal</v>
      </c>
      <c r="M180">
        <f t="shared" si="12"/>
        <v>0</v>
      </c>
      <c r="N180" s="2" t="str">
        <f t="shared" si="13"/>
        <v>Normal</v>
      </c>
      <c r="O180" s="2">
        <f t="shared" si="14"/>
        <v>0</v>
      </c>
      <c r="P180" s="2" t="str">
        <f t="shared" si="15"/>
        <v>Normal</v>
      </c>
    </row>
    <row r="181" spans="1:16" x14ac:dyDescent="0.35">
      <c r="A181">
        <v>588.79999999999995</v>
      </c>
      <c r="B181">
        <v>14131.2</v>
      </c>
      <c r="C181">
        <v>7360</v>
      </c>
      <c r="D181">
        <v>6771.2000000000007</v>
      </c>
      <c r="E181" s="1">
        <v>41518</v>
      </c>
      <c r="F181">
        <v>9</v>
      </c>
      <c r="G181" s="2" t="s">
        <v>16</v>
      </c>
      <c r="H181">
        <v>2013</v>
      </c>
      <c r="I181">
        <v>7948.8</v>
      </c>
      <c r="J181">
        <v>0</v>
      </c>
      <c r="K181">
        <f t="shared" si="10"/>
        <v>-0.65725276710336245</v>
      </c>
      <c r="L181" t="str">
        <f t="shared" si="11"/>
        <v>Normal</v>
      </c>
      <c r="M181">
        <f t="shared" si="12"/>
        <v>0</v>
      </c>
      <c r="N181" s="2" t="str">
        <f t="shared" si="13"/>
        <v>Normal</v>
      </c>
      <c r="O181" s="2">
        <f t="shared" si="14"/>
        <v>0</v>
      </c>
      <c r="P181" s="2" t="str">
        <f t="shared" si="15"/>
        <v>Normal</v>
      </c>
    </row>
    <row r="182" spans="1:16" x14ac:dyDescent="0.35">
      <c r="A182">
        <v>798.28</v>
      </c>
      <c r="B182">
        <v>19158.72</v>
      </c>
      <c r="C182">
        <v>14255</v>
      </c>
      <c r="D182">
        <v>4903.7200000000012</v>
      </c>
      <c r="E182" s="1">
        <v>41548</v>
      </c>
      <c r="F182">
        <v>10</v>
      </c>
      <c r="G182" s="2" t="s">
        <v>17</v>
      </c>
      <c r="H182">
        <v>2013</v>
      </c>
      <c r="I182">
        <v>15053.28</v>
      </c>
      <c r="J182">
        <v>0</v>
      </c>
      <c r="K182">
        <f t="shared" si="10"/>
        <v>-0.63599989430923221</v>
      </c>
      <c r="L182" t="str">
        <f t="shared" si="11"/>
        <v>Normal</v>
      </c>
      <c r="M182">
        <f t="shared" si="12"/>
        <v>0</v>
      </c>
      <c r="N182" s="2" t="str">
        <f t="shared" si="13"/>
        <v>Normal</v>
      </c>
      <c r="O182" s="2">
        <f t="shared" si="14"/>
        <v>0</v>
      </c>
      <c r="P182" s="2" t="str">
        <f t="shared" si="15"/>
        <v>Normal</v>
      </c>
    </row>
    <row r="183" spans="1:16" x14ac:dyDescent="0.35">
      <c r="A183">
        <v>24252</v>
      </c>
      <c r="B183">
        <v>582048</v>
      </c>
      <c r="C183">
        <v>505250</v>
      </c>
      <c r="D183">
        <v>76798</v>
      </c>
      <c r="E183" s="1">
        <v>41913</v>
      </c>
      <c r="F183">
        <v>10</v>
      </c>
      <c r="G183" s="2" t="s">
        <v>17</v>
      </c>
      <c r="H183">
        <v>2014</v>
      </c>
      <c r="I183">
        <v>529502</v>
      </c>
      <c r="J183">
        <v>0</v>
      </c>
      <c r="K183">
        <f t="shared" si="10"/>
        <v>1.7435061573861554</v>
      </c>
      <c r="L183" t="str">
        <f t="shared" si="11"/>
        <v>Normal</v>
      </c>
      <c r="M183">
        <f t="shared" si="12"/>
        <v>0</v>
      </c>
      <c r="N183" s="2" t="str">
        <f t="shared" si="13"/>
        <v>Normal</v>
      </c>
      <c r="O183" s="2">
        <f t="shared" si="14"/>
        <v>0</v>
      </c>
      <c r="P183" s="2" t="str">
        <f t="shared" si="15"/>
        <v>Normal</v>
      </c>
    </row>
    <row r="184" spans="1:16" x14ac:dyDescent="0.35">
      <c r="A184">
        <v>3836</v>
      </c>
      <c r="B184">
        <v>92064</v>
      </c>
      <c r="C184">
        <v>71240</v>
      </c>
      <c r="D184">
        <v>20824</v>
      </c>
      <c r="E184" s="1">
        <v>41974</v>
      </c>
      <c r="F184">
        <v>12</v>
      </c>
      <c r="G184" s="2" t="s">
        <v>12</v>
      </c>
      <c r="H184">
        <v>2014</v>
      </c>
      <c r="I184">
        <v>75076</v>
      </c>
      <c r="J184">
        <v>0</v>
      </c>
      <c r="K184">
        <f t="shared" si="10"/>
        <v>-0.32780686039580126</v>
      </c>
      <c r="L184" t="str">
        <f t="shared" si="11"/>
        <v>Normal</v>
      </c>
      <c r="M184">
        <f t="shared" si="12"/>
        <v>0</v>
      </c>
      <c r="N184" s="2" t="str">
        <f t="shared" si="13"/>
        <v>Normal</v>
      </c>
      <c r="O184" s="2">
        <f t="shared" si="14"/>
        <v>0</v>
      </c>
      <c r="P184" s="2" t="str">
        <f t="shared" si="15"/>
        <v>Normal</v>
      </c>
    </row>
    <row r="185" spans="1:16" x14ac:dyDescent="0.35">
      <c r="A185">
        <v>1180.2</v>
      </c>
      <c r="B185">
        <v>28324.799999999999</v>
      </c>
      <c r="C185">
        <v>19670</v>
      </c>
      <c r="D185">
        <v>8654.7999999999993</v>
      </c>
      <c r="E185" s="1">
        <v>41699</v>
      </c>
      <c r="F185">
        <v>3</v>
      </c>
      <c r="G185" s="2" t="s">
        <v>13</v>
      </c>
      <c r="H185">
        <v>2014</v>
      </c>
      <c r="I185">
        <v>20850.2</v>
      </c>
      <c r="J185">
        <v>0</v>
      </c>
      <c r="K185">
        <f t="shared" si="10"/>
        <v>-0.59725205595934561</v>
      </c>
      <c r="L185" t="str">
        <f t="shared" si="11"/>
        <v>Normal</v>
      </c>
      <c r="M185">
        <f t="shared" si="12"/>
        <v>0</v>
      </c>
      <c r="N185" s="2" t="str">
        <f t="shared" si="13"/>
        <v>Normal</v>
      </c>
      <c r="O185" s="2">
        <f t="shared" si="14"/>
        <v>0</v>
      </c>
      <c r="P185" s="2" t="str">
        <f t="shared" si="15"/>
        <v>Normal</v>
      </c>
    </row>
    <row r="186" spans="1:16" x14ac:dyDescent="0.35">
      <c r="A186">
        <v>22308</v>
      </c>
      <c r="B186">
        <v>535392</v>
      </c>
      <c r="C186">
        <v>464750</v>
      </c>
      <c r="D186">
        <v>70642</v>
      </c>
      <c r="E186" s="1">
        <v>41852</v>
      </c>
      <c r="F186">
        <v>8</v>
      </c>
      <c r="G186" s="2" t="s">
        <v>15</v>
      </c>
      <c r="H186">
        <v>2014</v>
      </c>
      <c r="I186">
        <v>487058</v>
      </c>
      <c r="J186">
        <v>0</v>
      </c>
      <c r="K186">
        <f t="shared" si="10"/>
        <v>1.5462769005989236</v>
      </c>
      <c r="L186" t="str">
        <f t="shared" si="11"/>
        <v>Normal</v>
      </c>
      <c r="M186">
        <f t="shared" si="12"/>
        <v>0</v>
      </c>
      <c r="N186" s="2" t="str">
        <f t="shared" si="13"/>
        <v>Normal</v>
      </c>
      <c r="O186" s="2">
        <f t="shared" si="14"/>
        <v>0</v>
      </c>
      <c r="P186" s="2" t="str">
        <f t="shared" si="15"/>
        <v>Normal</v>
      </c>
    </row>
    <row r="187" spans="1:16" x14ac:dyDescent="0.35">
      <c r="A187">
        <v>798.28</v>
      </c>
      <c r="B187">
        <v>19158.72</v>
      </c>
      <c r="C187">
        <v>14255</v>
      </c>
      <c r="D187">
        <v>4903.7200000000012</v>
      </c>
      <c r="E187" s="1">
        <v>41548</v>
      </c>
      <c r="F187">
        <v>10</v>
      </c>
      <c r="G187" s="2" t="s">
        <v>17</v>
      </c>
      <c r="H187">
        <v>2013</v>
      </c>
      <c r="I187">
        <v>15053.28</v>
      </c>
      <c r="J187">
        <v>0</v>
      </c>
      <c r="K187">
        <f t="shared" si="10"/>
        <v>-0.63599989430923221</v>
      </c>
      <c r="L187" t="str">
        <f t="shared" si="11"/>
        <v>Normal</v>
      </c>
      <c r="M187">
        <f t="shared" si="12"/>
        <v>0</v>
      </c>
      <c r="N187" s="2" t="str">
        <f t="shared" si="13"/>
        <v>Normal</v>
      </c>
      <c r="O187" s="2">
        <f t="shared" si="14"/>
        <v>0</v>
      </c>
      <c r="P187" s="2" t="str">
        <f t="shared" si="15"/>
        <v>Normal</v>
      </c>
    </row>
    <row r="188" spans="1:16" x14ac:dyDescent="0.35">
      <c r="A188">
        <v>24252</v>
      </c>
      <c r="B188">
        <v>582048</v>
      </c>
      <c r="C188">
        <v>505250</v>
      </c>
      <c r="D188">
        <v>76798</v>
      </c>
      <c r="E188" s="1">
        <v>41913</v>
      </c>
      <c r="F188">
        <v>10</v>
      </c>
      <c r="G188" s="2" t="s">
        <v>17</v>
      </c>
      <c r="H188">
        <v>2014</v>
      </c>
      <c r="I188">
        <v>529502</v>
      </c>
      <c r="J188">
        <v>0</v>
      </c>
      <c r="K188">
        <f t="shared" si="10"/>
        <v>1.7435061573861554</v>
      </c>
      <c r="L188" t="str">
        <f t="shared" si="11"/>
        <v>Normal</v>
      </c>
      <c r="M188">
        <f t="shared" si="12"/>
        <v>0</v>
      </c>
      <c r="N188" s="2" t="str">
        <f t="shared" si="13"/>
        <v>Normal</v>
      </c>
      <c r="O188" s="2">
        <f t="shared" si="14"/>
        <v>0</v>
      </c>
      <c r="P188" s="2" t="str">
        <f t="shared" si="15"/>
        <v>Normal</v>
      </c>
    </row>
    <row r="189" spans="1:16" x14ac:dyDescent="0.35">
      <c r="A189">
        <v>5690</v>
      </c>
      <c r="B189">
        <v>136560</v>
      </c>
      <c r="C189">
        <v>136560</v>
      </c>
      <c r="D189">
        <v>0</v>
      </c>
      <c r="E189" s="1">
        <v>41974</v>
      </c>
      <c r="F189">
        <v>12</v>
      </c>
      <c r="G189" s="2" t="s">
        <v>12</v>
      </c>
      <c r="H189">
        <v>2014</v>
      </c>
      <c r="I189">
        <v>142250</v>
      </c>
      <c r="J189">
        <v>0</v>
      </c>
      <c r="K189">
        <f t="shared" si="10"/>
        <v>-0.13970858771908948</v>
      </c>
      <c r="L189" t="str">
        <f t="shared" si="11"/>
        <v>Normal</v>
      </c>
      <c r="M189">
        <f t="shared" si="12"/>
        <v>0</v>
      </c>
      <c r="N189" s="2" t="str">
        <f t="shared" si="13"/>
        <v>Normal</v>
      </c>
      <c r="O189" s="2">
        <f t="shared" si="14"/>
        <v>0</v>
      </c>
      <c r="P189" s="2" t="str">
        <f t="shared" si="15"/>
        <v>Normal</v>
      </c>
    </row>
    <row r="190" spans="1:16" x14ac:dyDescent="0.35">
      <c r="A190">
        <v>1190.28</v>
      </c>
      <c r="B190">
        <v>28566.720000000001</v>
      </c>
      <c r="C190">
        <v>21255</v>
      </c>
      <c r="D190">
        <v>7311.7199999999993</v>
      </c>
      <c r="E190" s="1">
        <v>41640</v>
      </c>
      <c r="F190">
        <v>1</v>
      </c>
      <c r="G190" s="2" t="s">
        <v>10</v>
      </c>
      <c r="H190">
        <v>2014</v>
      </c>
      <c r="I190">
        <v>22445.279999999999</v>
      </c>
      <c r="J190">
        <v>0</v>
      </c>
      <c r="K190">
        <f t="shared" si="10"/>
        <v>-0.59622938573896733</v>
      </c>
      <c r="L190" t="str">
        <f t="shared" si="11"/>
        <v>Normal</v>
      </c>
      <c r="M190">
        <f t="shared" si="12"/>
        <v>0</v>
      </c>
      <c r="N190" s="2" t="str">
        <f t="shared" si="13"/>
        <v>Normal</v>
      </c>
      <c r="O190" s="2">
        <f t="shared" si="14"/>
        <v>0</v>
      </c>
      <c r="P190" s="2" t="str">
        <f t="shared" si="15"/>
        <v>Normal</v>
      </c>
    </row>
    <row r="191" spans="1:16" x14ac:dyDescent="0.35">
      <c r="A191">
        <v>3975</v>
      </c>
      <c r="B191">
        <v>95400</v>
      </c>
      <c r="C191">
        <v>95400</v>
      </c>
      <c r="D191">
        <v>0</v>
      </c>
      <c r="E191" s="1">
        <v>41699</v>
      </c>
      <c r="F191">
        <v>3</v>
      </c>
      <c r="G191" s="2" t="s">
        <v>13</v>
      </c>
      <c r="H191">
        <v>2014</v>
      </c>
      <c r="I191">
        <v>99375</v>
      </c>
      <c r="J191">
        <v>0</v>
      </c>
      <c r="K191">
        <f t="shared" si="10"/>
        <v>-0.31370456271399816</v>
      </c>
      <c r="L191" t="str">
        <f t="shared" si="11"/>
        <v>Normal</v>
      </c>
      <c r="M191">
        <f t="shared" si="12"/>
        <v>0</v>
      </c>
      <c r="N191" s="2" t="str">
        <f t="shared" si="13"/>
        <v>Normal</v>
      </c>
      <c r="O191" s="2">
        <f t="shared" si="14"/>
        <v>0</v>
      </c>
      <c r="P191" s="2" t="str">
        <f t="shared" si="15"/>
        <v>Normal</v>
      </c>
    </row>
    <row r="192" spans="1:16" x14ac:dyDescent="0.35">
      <c r="A192">
        <v>16974</v>
      </c>
      <c r="B192">
        <v>407376</v>
      </c>
      <c r="C192">
        <v>353625</v>
      </c>
      <c r="D192">
        <v>53751</v>
      </c>
      <c r="E192" s="1">
        <v>41730</v>
      </c>
      <c r="F192">
        <v>4</v>
      </c>
      <c r="G192" s="2" t="s">
        <v>20</v>
      </c>
      <c r="H192">
        <v>2014</v>
      </c>
      <c r="I192">
        <v>370599</v>
      </c>
      <c r="J192">
        <v>0</v>
      </c>
      <c r="K192">
        <f t="shared" si="10"/>
        <v>1.0051139089821057</v>
      </c>
      <c r="L192" t="str">
        <f t="shared" si="11"/>
        <v>Normal</v>
      </c>
      <c r="M192">
        <f t="shared" si="12"/>
        <v>0</v>
      </c>
      <c r="N192" s="2" t="str">
        <f t="shared" si="13"/>
        <v>Normal</v>
      </c>
      <c r="O192" s="2">
        <f t="shared" si="14"/>
        <v>0</v>
      </c>
      <c r="P192" s="2" t="str">
        <f t="shared" si="15"/>
        <v>Normal</v>
      </c>
    </row>
    <row r="193" spans="1:16" x14ac:dyDescent="0.35">
      <c r="A193">
        <v>35016</v>
      </c>
      <c r="B193">
        <v>840384</v>
      </c>
      <c r="C193">
        <v>729500</v>
      </c>
      <c r="D193">
        <v>110884</v>
      </c>
      <c r="E193" s="1">
        <v>41760</v>
      </c>
      <c r="F193">
        <v>5</v>
      </c>
      <c r="G193" s="2" t="s">
        <v>21</v>
      </c>
      <c r="H193">
        <v>2014</v>
      </c>
      <c r="I193">
        <v>764516</v>
      </c>
      <c r="J193">
        <v>0</v>
      </c>
      <c r="K193">
        <f t="shared" si="10"/>
        <v>2.835571857004346</v>
      </c>
      <c r="L193" t="str">
        <f t="shared" si="11"/>
        <v>Normal</v>
      </c>
      <c r="M193">
        <f t="shared" si="12"/>
        <v>0</v>
      </c>
      <c r="N193" s="2" t="str">
        <f t="shared" si="13"/>
        <v>Normal</v>
      </c>
      <c r="O193" s="2">
        <f t="shared" si="14"/>
        <v>0</v>
      </c>
      <c r="P193" s="2" t="str">
        <f t="shared" si="15"/>
        <v>Normal</v>
      </c>
    </row>
    <row r="194" spans="1:16" x14ac:dyDescent="0.35">
      <c r="A194">
        <v>48300</v>
      </c>
      <c r="B194">
        <v>1159200</v>
      </c>
      <c r="C194">
        <v>897000</v>
      </c>
      <c r="D194">
        <v>262200</v>
      </c>
      <c r="E194" s="1">
        <v>41821</v>
      </c>
      <c r="F194">
        <v>7</v>
      </c>
      <c r="G194" s="2" t="s">
        <v>14</v>
      </c>
      <c r="H194">
        <v>2014</v>
      </c>
      <c r="I194">
        <v>945300</v>
      </c>
      <c r="J194">
        <v>0</v>
      </c>
      <c r="K194">
        <f t="shared" ref="K194:K257" si="16">(B194 - $U$2) / $U$3</f>
        <v>4.1833051117170967</v>
      </c>
      <c r="L194" t="str">
        <f t="shared" ref="L194:L257" si="17">IF(ABS(K194) &gt; 3, "Anomaly", "Normal")</f>
        <v>Anomaly</v>
      </c>
      <c r="M194">
        <f t="shared" ref="M194:M257" si="18">IFERROR((I194-$S$6)/$S$7,0)</f>
        <v>0</v>
      </c>
      <c r="N194" s="2" t="str">
        <f t="shared" ref="N194:N257" si="19">IF(ABS(M194) &gt; 3, "Anomaly", "Normal")</f>
        <v>Normal</v>
      </c>
      <c r="O194" s="2">
        <f t="shared" ref="O194:O257" si="20">IFERROR((J194-$Q$2)/$Q$3,0)</f>
        <v>0</v>
      </c>
      <c r="P194" s="2" t="str">
        <f t="shared" ref="P194:P257" si="21">IF(ABS(O194)&gt;3,"Anomaly","Normal")</f>
        <v>Normal</v>
      </c>
    </row>
    <row r="195" spans="1:16" x14ac:dyDescent="0.35">
      <c r="A195">
        <v>14940</v>
      </c>
      <c r="B195">
        <v>358560</v>
      </c>
      <c r="C195">
        <v>358560</v>
      </c>
      <c r="D195">
        <v>0</v>
      </c>
      <c r="E195" s="1">
        <v>41821</v>
      </c>
      <c r="F195">
        <v>7</v>
      </c>
      <c r="G195" s="2" t="s">
        <v>14</v>
      </c>
      <c r="H195">
        <v>2014</v>
      </c>
      <c r="I195">
        <v>373500</v>
      </c>
      <c r="J195">
        <v>0</v>
      </c>
      <c r="K195">
        <f t="shared" si="16"/>
        <v>0.79875366808435388</v>
      </c>
      <c r="L195" t="str">
        <f t="shared" si="17"/>
        <v>Normal</v>
      </c>
      <c r="M195">
        <f t="shared" si="18"/>
        <v>0</v>
      </c>
      <c r="N195" s="2" t="str">
        <f t="shared" si="19"/>
        <v>Normal</v>
      </c>
      <c r="O195" s="2">
        <f t="shared" si="20"/>
        <v>0</v>
      </c>
      <c r="P195" s="2" t="str">
        <f t="shared" si="21"/>
        <v>Normal</v>
      </c>
    </row>
    <row r="196" spans="1:16" x14ac:dyDescent="0.35">
      <c r="A196">
        <v>130.80000000000001</v>
      </c>
      <c r="B196">
        <v>3139.2</v>
      </c>
      <c r="C196">
        <v>2180</v>
      </c>
      <c r="D196">
        <v>959.19999999999982</v>
      </c>
      <c r="E196" s="1">
        <v>41883</v>
      </c>
      <c r="F196">
        <v>9</v>
      </c>
      <c r="G196" s="2" t="s">
        <v>16</v>
      </c>
      <c r="H196">
        <v>2014</v>
      </c>
      <c r="I196">
        <v>2310.8000000000002</v>
      </c>
      <c r="J196">
        <v>0</v>
      </c>
      <c r="K196">
        <f t="shared" si="16"/>
        <v>-0.70371933068800863</v>
      </c>
      <c r="L196" t="str">
        <f t="shared" si="17"/>
        <v>Normal</v>
      </c>
      <c r="M196">
        <f t="shared" si="18"/>
        <v>0</v>
      </c>
      <c r="N196" s="2" t="str">
        <f t="shared" si="19"/>
        <v>Normal</v>
      </c>
      <c r="O196" s="2">
        <f t="shared" si="20"/>
        <v>0</v>
      </c>
      <c r="P196" s="2" t="str">
        <f t="shared" si="21"/>
        <v>Normal</v>
      </c>
    </row>
    <row r="197" spans="1:16" x14ac:dyDescent="0.35">
      <c r="A197">
        <v>1659.2</v>
      </c>
      <c r="B197">
        <v>39820.800000000003</v>
      </c>
      <c r="C197">
        <v>20740</v>
      </c>
      <c r="D197">
        <v>19080.800000000003</v>
      </c>
      <c r="E197" s="1">
        <v>41883</v>
      </c>
      <c r="F197">
        <v>9</v>
      </c>
      <c r="G197" s="2" t="s">
        <v>16</v>
      </c>
      <c r="H197">
        <v>2014</v>
      </c>
      <c r="I197">
        <v>22399.200000000001</v>
      </c>
      <c r="J197">
        <v>0</v>
      </c>
      <c r="K197">
        <f t="shared" si="16"/>
        <v>-0.54865492941557803</v>
      </c>
      <c r="L197" t="str">
        <f t="shared" si="17"/>
        <v>Normal</v>
      </c>
      <c r="M197">
        <f t="shared" si="18"/>
        <v>0</v>
      </c>
      <c r="N197" s="2" t="str">
        <f t="shared" si="19"/>
        <v>Normal</v>
      </c>
      <c r="O197" s="2">
        <f t="shared" si="20"/>
        <v>0</v>
      </c>
      <c r="P197" s="2" t="str">
        <f t="shared" si="21"/>
        <v>Normal</v>
      </c>
    </row>
    <row r="198" spans="1:16" x14ac:dyDescent="0.35">
      <c r="A198">
        <v>844.8</v>
      </c>
      <c r="B198">
        <v>20275.2</v>
      </c>
      <c r="C198">
        <v>10560</v>
      </c>
      <c r="D198">
        <v>9715.2000000000007</v>
      </c>
      <c r="E198" s="1">
        <v>41883</v>
      </c>
      <c r="F198">
        <v>9</v>
      </c>
      <c r="G198" s="2" t="s">
        <v>16</v>
      </c>
      <c r="H198">
        <v>2014</v>
      </c>
      <c r="I198">
        <v>11404.8</v>
      </c>
      <c r="J198">
        <v>0</v>
      </c>
      <c r="K198">
        <f t="shared" si="16"/>
        <v>-0.63128019007788339</v>
      </c>
      <c r="L198" t="str">
        <f t="shared" si="17"/>
        <v>Normal</v>
      </c>
      <c r="M198">
        <f t="shared" si="18"/>
        <v>0</v>
      </c>
      <c r="N198" s="2" t="str">
        <f t="shared" si="19"/>
        <v>Normal</v>
      </c>
      <c r="O198" s="2">
        <f t="shared" si="20"/>
        <v>0</v>
      </c>
      <c r="P198" s="2" t="str">
        <f t="shared" si="21"/>
        <v>Normal</v>
      </c>
    </row>
    <row r="199" spans="1:16" x14ac:dyDescent="0.35">
      <c r="A199">
        <v>402.6</v>
      </c>
      <c r="B199">
        <v>9662.4</v>
      </c>
      <c r="C199">
        <v>6710</v>
      </c>
      <c r="D199">
        <v>2952.3999999999996</v>
      </c>
      <c r="E199" s="1">
        <v>41548</v>
      </c>
      <c r="F199">
        <v>10</v>
      </c>
      <c r="G199" s="2" t="s">
        <v>17</v>
      </c>
      <c r="H199">
        <v>2013</v>
      </c>
      <c r="I199">
        <v>7112.6</v>
      </c>
      <c r="J199">
        <v>0</v>
      </c>
      <c r="K199">
        <f t="shared" si="16"/>
        <v>-0.67614375867423826</v>
      </c>
      <c r="L199" t="str">
        <f t="shared" si="17"/>
        <v>Normal</v>
      </c>
      <c r="M199">
        <f t="shared" si="18"/>
        <v>0</v>
      </c>
      <c r="N199" s="2" t="str">
        <f t="shared" si="19"/>
        <v>Normal</v>
      </c>
      <c r="O199" s="2">
        <f t="shared" si="20"/>
        <v>0</v>
      </c>
      <c r="P199" s="2" t="str">
        <f t="shared" si="21"/>
        <v>Normal</v>
      </c>
    </row>
    <row r="200" spans="1:16" x14ac:dyDescent="0.35">
      <c r="A200">
        <v>908.4</v>
      </c>
      <c r="B200">
        <v>21801.599999999999</v>
      </c>
      <c r="C200">
        <v>15140</v>
      </c>
      <c r="D200">
        <v>6661.5999999999985</v>
      </c>
      <c r="E200" s="1">
        <v>41548</v>
      </c>
      <c r="F200">
        <v>10</v>
      </c>
      <c r="G200" s="2" t="s">
        <v>17</v>
      </c>
      <c r="H200">
        <v>2013</v>
      </c>
      <c r="I200">
        <v>16048.4</v>
      </c>
      <c r="J200">
        <v>0</v>
      </c>
      <c r="K200">
        <f t="shared" si="16"/>
        <v>-0.62482762797311586</v>
      </c>
      <c r="L200" t="str">
        <f t="shared" si="17"/>
        <v>Normal</v>
      </c>
      <c r="M200">
        <f t="shared" si="18"/>
        <v>0</v>
      </c>
      <c r="N200" s="2" t="str">
        <f t="shared" si="19"/>
        <v>Normal</v>
      </c>
      <c r="O200" s="2">
        <f t="shared" si="20"/>
        <v>0</v>
      </c>
      <c r="P200" s="2" t="str">
        <f t="shared" si="21"/>
        <v>Normal</v>
      </c>
    </row>
    <row r="201" spans="1:16" x14ac:dyDescent="0.35">
      <c r="A201">
        <v>3836</v>
      </c>
      <c r="B201">
        <v>92064</v>
      </c>
      <c r="C201">
        <v>71240</v>
      </c>
      <c r="D201">
        <v>20824</v>
      </c>
      <c r="E201" s="1">
        <v>41974</v>
      </c>
      <c r="F201">
        <v>12</v>
      </c>
      <c r="G201" s="2" t="s">
        <v>12</v>
      </c>
      <c r="H201">
        <v>2014</v>
      </c>
      <c r="I201">
        <v>75076</v>
      </c>
      <c r="J201">
        <v>0</v>
      </c>
      <c r="K201">
        <f t="shared" si="16"/>
        <v>-0.32780686039580126</v>
      </c>
      <c r="L201" t="str">
        <f t="shared" si="17"/>
        <v>Normal</v>
      </c>
      <c r="M201">
        <f t="shared" si="18"/>
        <v>0</v>
      </c>
      <c r="N201" s="2" t="str">
        <f t="shared" si="19"/>
        <v>Normal</v>
      </c>
      <c r="O201" s="2">
        <f t="shared" si="20"/>
        <v>0</v>
      </c>
      <c r="P201" s="2" t="str">
        <f t="shared" si="21"/>
        <v>Normal</v>
      </c>
    </row>
    <row r="202" spans="1:16" x14ac:dyDescent="0.35">
      <c r="A202">
        <v>5690</v>
      </c>
      <c r="B202">
        <v>136560</v>
      </c>
      <c r="C202">
        <v>136560</v>
      </c>
      <c r="D202">
        <v>0</v>
      </c>
      <c r="E202" s="1">
        <v>41974</v>
      </c>
      <c r="F202">
        <v>12</v>
      </c>
      <c r="G202" s="2" t="s">
        <v>12</v>
      </c>
      <c r="H202">
        <v>2014</v>
      </c>
      <c r="I202">
        <v>142250</v>
      </c>
      <c r="J202">
        <v>0</v>
      </c>
      <c r="K202">
        <f t="shared" si="16"/>
        <v>-0.13970858771908948</v>
      </c>
      <c r="L202" t="str">
        <f t="shared" si="17"/>
        <v>Normal</v>
      </c>
      <c r="M202">
        <f t="shared" si="18"/>
        <v>0</v>
      </c>
      <c r="N202" s="2" t="str">
        <f t="shared" si="19"/>
        <v>Normal</v>
      </c>
      <c r="O202" s="2">
        <f t="shared" si="20"/>
        <v>0</v>
      </c>
      <c r="P202" s="2" t="str">
        <f t="shared" si="21"/>
        <v>Normal</v>
      </c>
    </row>
    <row r="203" spans="1:16" x14ac:dyDescent="0.35">
      <c r="A203">
        <v>703.2</v>
      </c>
      <c r="B203">
        <v>16876.8</v>
      </c>
      <c r="C203">
        <v>4395</v>
      </c>
      <c r="D203">
        <v>12481.8</v>
      </c>
      <c r="E203" s="1">
        <v>41699</v>
      </c>
      <c r="F203">
        <v>3</v>
      </c>
      <c r="G203" s="2" t="s">
        <v>13</v>
      </c>
      <c r="H203">
        <v>2014</v>
      </c>
      <c r="I203">
        <v>5098.2</v>
      </c>
      <c r="J203">
        <v>0</v>
      </c>
      <c r="K203">
        <f t="shared" si="16"/>
        <v>-0.64564627174510159</v>
      </c>
      <c r="L203" t="str">
        <f t="shared" si="17"/>
        <v>Normal</v>
      </c>
      <c r="M203">
        <f t="shared" si="18"/>
        <v>0</v>
      </c>
      <c r="N203" s="2" t="str">
        <f t="shared" si="19"/>
        <v>Normal</v>
      </c>
      <c r="O203" s="2">
        <f t="shared" si="20"/>
        <v>0</v>
      </c>
      <c r="P203" s="2" t="str">
        <f t="shared" si="21"/>
        <v>Normal</v>
      </c>
    </row>
    <row r="204" spans="1:16" x14ac:dyDescent="0.35">
      <c r="A204">
        <v>2116.8000000000002</v>
      </c>
      <c r="B204">
        <v>50803.199999999997</v>
      </c>
      <c r="C204">
        <v>26460</v>
      </c>
      <c r="D204">
        <v>24343.199999999997</v>
      </c>
      <c r="E204" s="1">
        <v>41518</v>
      </c>
      <c r="F204">
        <v>9</v>
      </c>
      <c r="G204" s="2" t="s">
        <v>16</v>
      </c>
      <c r="H204">
        <v>2013</v>
      </c>
      <c r="I204">
        <v>28576.799999999999</v>
      </c>
      <c r="J204">
        <v>0</v>
      </c>
      <c r="K204">
        <f t="shared" si="16"/>
        <v>-0.50222894798253426</v>
      </c>
      <c r="L204" t="str">
        <f t="shared" si="17"/>
        <v>Normal</v>
      </c>
      <c r="M204">
        <f t="shared" si="18"/>
        <v>0</v>
      </c>
      <c r="N204" s="2" t="str">
        <f t="shared" si="19"/>
        <v>Normal</v>
      </c>
      <c r="O204" s="2">
        <f t="shared" si="20"/>
        <v>0</v>
      </c>
      <c r="P204" s="2" t="str">
        <f t="shared" si="21"/>
        <v>Normal</v>
      </c>
    </row>
    <row r="205" spans="1:16" x14ac:dyDescent="0.35">
      <c r="A205">
        <v>30478</v>
      </c>
      <c r="B205">
        <v>731472</v>
      </c>
      <c r="C205">
        <v>566020</v>
      </c>
      <c r="D205">
        <v>165452</v>
      </c>
      <c r="E205" s="1">
        <v>41913</v>
      </c>
      <c r="F205">
        <v>10</v>
      </c>
      <c r="G205" s="2" t="s">
        <v>17</v>
      </c>
      <c r="H205">
        <v>2014</v>
      </c>
      <c r="I205">
        <v>596498</v>
      </c>
      <c r="J205">
        <v>0</v>
      </c>
      <c r="K205">
        <f t="shared" si="16"/>
        <v>2.3751673470761272</v>
      </c>
      <c r="L205" t="str">
        <f t="shared" si="17"/>
        <v>Normal</v>
      </c>
      <c r="M205">
        <f t="shared" si="18"/>
        <v>0</v>
      </c>
      <c r="N205" s="2" t="str">
        <f t="shared" si="19"/>
        <v>Normal</v>
      </c>
      <c r="O205" s="2">
        <f t="shared" si="20"/>
        <v>0</v>
      </c>
      <c r="P205" s="2" t="str">
        <f t="shared" si="21"/>
        <v>Normal</v>
      </c>
    </row>
    <row r="206" spans="1:16" x14ac:dyDescent="0.35">
      <c r="A206">
        <v>415.68</v>
      </c>
      <c r="B206">
        <v>9976.32</v>
      </c>
      <c r="C206">
        <v>2598</v>
      </c>
      <c r="D206">
        <v>7378.32</v>
      </c>
      <c r="E206" s="1">
        <v>41760</v>
      </c>
      <c r="F206">
        <v>5</v>
      </c>
      <c r="G206" s="2" t="s">
        <v>21</v>
      </c>
      <c r="H206">
        <v>2014</v>
      </c>
      <c r="I206">
        <v>3013.68</v>
      </c>
      <c r="J206">
        <v>0</v>
      </c>
      <c r="K206">
        <f t="shared" si="16"/>
        <v>-0.67481672231684264</v>
      </c>
      <c r="L206" t="str">
        <f t="shared" si="17"/>
        <v>Normal</v>
      </c>
      <c r="M206">
        <f t="shared" si="18"/>
        <v>0</v>
      </c>
      <c r="N206" s="2" t="str">
        <f t="shared" si="19"/>
        <v>Normal</v>
      </c>
      <c r="O206" s="2">
        <f t="shared" si="20"/>
        <v>0</v>
      </c>
      <c r="P206" s="2" t="str">
        <f t="shared" si="21"/>
        <v>Normal</v>
      </c>
    </row>
    <row r="207" spans="1:16" x14ac:dyDescent="0.35">
      <c r="A207">
        <v>4886</v>
      </c>
      <c r="B207">
        <v>117264</v>
      </c>
      <c r="C207">
        <v>90740</v>
      </c>
      <c r="D207">
        <v>26524</v>
      </c>
      <c r="E207" s="1">
        <v>41518</v>
      </c>
      <c r="F207">
        <v>9</v>
      </c>
      <c r="G207" s="2" t="s">
        <v>16</v>
      </c>
      <c r="H207">
        <v>2013</v>
      </c>
      <c r="I207">
        <v>95626</v>
      </c>
      <c r="J207">
        <v>0</v>
      </c>
      <c r="K207">
        <f t="shared" si="16"/>
        <v>-0.22127871243973471</v>
      </c>
      <c r="L207" t="str">
        <f t="shared" si="17"/>
        <v>Normal</v>
      </c>
      <c r="M207">
        <f t="shared" si="18"/>
        <v>0</v>
      </c>
      <c r="N207" s="2" t="str">
        <f t="shared" si="19"/>
        <v>Normal</v>
      </c>
      <c r="O207" s="2">
        <f t="shared" si="20"/>
        <v>0</v>
      </c>
      <c r="P207" s="2" t="str">
        <f t="shared" si="21"/>
        <v>Normal</v>
      </c>
    </row>
    <row r="208" spans="1:16" x14ac:dyDescent="0.35">
      <c r="A208">
        <v>30478</v>
      </c>
      <c r="B208">
        <v>731472</v>
      </c>
      <c r="C208">
        <v>566020</v>
      </c>
      <c r="D208">
        <v>165452</v>
      </c>
      <c r="E208" s="1">
        <v>41913</v>
      </c>
      <c r="F208">
        <v>10</v>
      </c>
      <c r="G208" s="2" t="s">
        <v>17</v>
      </c>
      <c r="H208">
        <v>2014</v>
      </c>
      <c r="I208">
        <v>596498</v>
      </c>
      <c r="J208">
        <v>0</v>
      </c>
      <c r="K208">
        <f t="shared" si="16"/>
        <v>2.3751673470761272</v>
      </c>
      <c r="L208" t="str">
        <f t="shared" si="17"/>
        <v>Normal</v>
      </c>
      <c r="M208">
        <f t="shared" si="18"/>
        <v>0</v>
      </c>
      <c r="N208" s="2" t="str">
        <f t="shared" si="19"/>
        <v>Normal</v>
      </c>
      <c r="O208" s="2">
        <f t="shared" si="20"/>
        <v>0</v>
      </c>
      <c r="P208" s="2" t="str">
        <f t="shared" si="21"/>
        <v>Normal</v>
      </c>
    </row>
    <row r="209" spans="1:16" x14ac:dyDescent="0.35">
      <c r="A209">
        <v>908.4</v>
      </c>
      <c r="B209">
        <v>21801.599999999999</v>
      </c>
      <c r="C209">
        <v>15140</v>
      </c>
      <c r="D209">
        <v>6661.5999999999985</v>
      </c>
      <c r="E209" s="1">
        <v>41548</v>
      </c>
      <c r="F209">
        <v>10</v>
      </c>
      <c r="G209" s="2" t="s">
        <v>17</v>
      </c>
      <c r="H209">
        <v>2013</v>
      </c>
      <c r="I209">
        <v>16048.4</v>
      </c>
      <c r="J209">
        <v>0</v>
      </c>
      <c r="K209">
        <f t="shared" si="16"/>
        <v>-0.62482762797311586</v>
      </c>
      <c r="L209" t="str">
        <f t="shared" si="17"/>
        <v>Normal</v>
      </c>
      <c r="M209">
        <f t="shared" si="18"/>
        <v>0</v>
      </c>
      <c r="N209" s="2" t="str">
        <f t="shared" si="19"/>
        <v>Normal</v>
      </c>
      <c r="O209" s="2">
        <f t="shared" si="20"/>
        <v>0</v>
      </c>
      <c r="P209" s="2" t="str">
        <f t="shared" si="21"/>
        <v>Normal</v>
      </c>
    </row>
    <row r="210" spans="1:16" x14ac:dyDescent="0.35">
      <c r="A210">
        <v>26110</v>
      </c>
      <c r="B210">
        <v>626640</v>
      </c>
      <c r="C210">
        <v>484900</v>
      </c>
      <c r="D210">
        <v>141740</v>
      </c>
      <c r="E210" s="1">
        <v>41671</v>
      </c>
      <c r="F210">
        <v>2</v>
      </c>
      <c r="G210" s="2" t="s">
        <v>18</v>
      </c>
      <c r="H210">
        <v>2014</v>
      </c>
      <c r="I210">
        <v>511010</v>
      </c>
      <c r="J210">
        <v>0</v>
      </c>
      <c r="K210">
        <f t="shared" si="16"/>
        <v>1.9320102515788902</v>
      </c>
      <c r="L210" t="str">
        <f t="shared" si="17"/>
        <v>Normal</v>
      </c>
      <c r="M210">
        <f t="shared" si="18"/>
        <v>0</v>
      </c>
      <c r="N210" s="2" t="str">
        <f t="shared" si="19"/>
        <v>Normal</v>
      </c>
      <c r="O210" s="2">
        <f t="shared" si="20"/>
        <v>0</v>
      </c>
      <c r="P210" s="2" t="str">
        <f t="shared" si="21"/>
        <v>Normal</v>
      </c>
    </row>
    <row r="211" spans="1:16" x14ac:dyDescent="0.35">
      <c r="A211">
        <v>5370</v>
      </c>
      <c r="B211">
        <v>128880</v>
      </c>
      <c r="C211">
        <v>128880</v>
      </c>
      <c r="D211">
        <v>0</v>
      </c>
      <c r="E211" s="1">
        <v>41730</v>
      </c>
      <c r="F211">
        <v>4</v>
      </c>
      <c r="G211" s="2" t="s">
        <v>20</v>
      </c>
      <c r="H211">
        <v>2014</v>
      </c>
      <c r="I211">
        <v>134250</v>
      </c>
      <c r="J211">
        <v>0</v>
      </c>
      <c r="K211">
        <f t="shared" si="16"/>
        <v>-0.17217430900093833</v>
      </c>
      <c r="L211" t="str">
        <f t="shared" si="17"/>
        <v>Normal</v>
      </c>
      <c r="M211">
        <f t="shared" si="18"/>
        <v>0</v>
      </c>
      <c r="N211" s="2" t="str">
        <f t="shared" si="19"/>
        <v>Normal</v>
      </c>
      <c r="O211" s="2">
        <f t="shared" si="20"/>
        <v>0</v>
      </c>
      <c r="P211" s="2" t="str">
        <f t="shared" si="21"/>
        <v>Normal</v>
      </c>
    </row>
    <row r="212" spans="1:16" x14ac:dyDescent="0.35">
      <c r="A212">
        <v>26698</v>
      </c>
      <c r="B212">
        <v>640752</v>
      </c>
      <c r="C212">
        <v>495820</v>
      </c>
      <c r="D212">
        <v>144932</v>
      </c>
      <c r="E212" s="1">
        <v>41883</v>
      </c>
      <c r="F212">
        <v>9</v>
      </c>
      <c r="G212" s="2" t="s">
        <v>16</v>
      </c>
      <c r="H212">
        <v>2014</v>
      </c>
      <c r="I212">
        <v>522518</v>
      </c>
      <c r="J212">
        <v>0</v>
      </c>
      <c r="K212">
        <f t="shared" si="16"/>
        <v>1.9916660144342875</v>
      </c>
      <c r="L212" t="str">
        <f t="shared" si="17"/>
        <v>Normal</v>
      </c>
      <c r="M212">
        <f t="shared" si="18"/>
        <v>0</v>
      </c>
      <c r="N212" s="2" t="str">
        <f t="shared" si="19"/>
        <v>Normal</v>
      </c>
      <c r="O212" s="2">
        <f t="shared" si="20"/>
        <v>0</v>
      </c>
      <c r="P212" s="2" t="str">
        <f t="shared" si="21"/>
        <v>Normal</v>
      </c>
    </row>
    <row r="213" spans="1:16" x14ac:dyDescent="0.35">
      <c r="A213">
        <v>402.6</v>
      </c>
      <c r="B213">
        <v>9662.4</v>
      </c>
      <c r="C213">
        <v>6710</v>
      </c>
      <c r="D213">
        <v>2952.3999999999996</v>
      </c>
      <c r="E213" s="1">
        <v>41548</v>
      </c>
      <c r="F213">
        <v>10</v>
      </c>
      <c r="G213" s="2" t="s">
        <v>17</v>
      </c>
      <c r="H213">
        <v>2013</v>
      </c>
      <c r="I213">
        <v>7112.6</v>
      </c>
      <c r="J213">
        <v>0</v>
      </c>
      <c r="K213">
        <f t="shared" si="16"/>
        <v>-0.67614375867423826</v>
      </c>
      <c r="L213" t="str">
        <f t="shared" si="17"/>
        <v>Normal</v>
      </c>
      <c r="M213">
        <f t="shared" si="18"/>
        <v>0</v>
      </c>
      <c r="N213" s="2" t="str">
        <f t="shared" si="19"/>
        <v>Normal</v>
      </c>
      <c r="O213" s="2">
        <f t="shared" si="20"/>
        <v>0</v>
      </c>
      <c r="P213" s="2" t="str">
        <f t="shared" si="21"/>
        <v>Normal</v>
      </c>
    </row>
    <row r="214" spans="1:16" x14ac:dyDescent="0.35">
      <c r="A214">
        <v>24892</v>
      </c>
      <c r="B214">
        <v>597408</v>
      </c>
      <c r="C214">
        <v>462280</v>
      </c>
      <c r="D214">
        <v>135128</v>
      </c>
      <c r="E214" s="1">
        <v>41609</v>
      </c>
      <c r="F214">
        <v>12</v>
      </c>
      <c r="G214" s="2" t="s">
        <v>12</v>
      </c>
      <c r="H214">
        <v>2013</v>
      </c>
      <c r="I214">
        <v>487172</v>
      </c>
      <c r="J214">
        <v>0</v>
      </c>
      <c r="K214">
        <f t="shared" si="16"/>
        <v>1.808437599949853</v>
      </c>
      <c r="L214" t="str">
        <f t="shared" si="17"/>
        <v>Normal</v>
      </c>
      <c r="M214">
        <f t="shared" si="18"/>
        <v>0</v>
      </c>
      <c r="N214" s="2" t="str">
        <f t="shared" si="19"/>
        <v>Normal</v>
      </c>
      <c r="O214" s="2">
        <f t="shared" si="20"/>
        <v>0</v>
      </c>
      <c r="P214" s="2" t="str">
        <f t="shared" si="21"/>
        <v>Normal</v>
      </c>
    </row>
    <row r="215" spans="1:16" x14ac:dyDescent="0.35">
      <c r="A215">
        <v>405.65</v>
      </c>
      <c r="B215">
        <v>7707.35</v>
      </c>
      <c r="C215">
        <v>5795</v>
      </c>
      <c r="D215">
        <v>1912.3500000000004</v>
      </c>
      <c r="E215" s="1">
        <v>41548</v>
      </c>
      <c r="F215">
        <v>10</v>
      </c>
      <c r="G215" s="2" t="s">
        <v>17</v>
      </c>
      <c r="H215">
        <v>2013</v>
      </c>
      <c r="I215">
        <v>6200.65</v>
      </c>
      <c r="J215">
        <v>0</v>
      </c>
      <c r="K215">
        <f t="shared" si="16"/>
        <v>-0.6844083561211235</v>
      </c>
      <c r="L215" t="str">
        <f t="shared" si="17"/>
        <v>Normal</v>
      </c>
      <c r="M215">
        <f t="shared" si="18"/>
        <v>0</v>
      </c>
      <c r="N215" s="2" t="str">
        <f t="shared" si="19"/>
        <v>Normal</v>
      </c>
      <c r="O215" s="2">
        <f t="shared" si="20"/>
        <v>0</v>
      </c>
      <c r="P215" s="2" t="str">
        <f t="shared" si="21"/>
        <v>Normal</v>
      </c>
    </row>
    <row r="216" spans="1:16" x14ac:dyDescent="0.35">
      <c r="A216">
        <v>480.2</v>
      </c>
      <c r="B216">
        <v>9123.7999999999993</v>
      </c>
      <c r="C216">
        <v>6860</v>
      </c>
      <c r="D216">
        <v>2263.7999999999993</v>
      </c>
      <c r="E216" s="1">
        <v>41640</v>
      </c>
      <c r="F216">
        <v>1</v>
      </c>
      <c r="G216" s="2" t="s">
        <v>10</v>
      </c>
      <c r="H216">
        <v>2014</v>
      </c>
      <c r="I216">
        <v>7340.2</v>
      </c>
      <c r="J216">
        <v>0</v>
      </c>
      <c r="K216">
        <f t="shared" si="16"/>
        <v>-0.67842058647142633</v>
      </c>
      <c r="L216" t="str">
        <f t="shared" si="17"/>
        <v>Normal</v>
      </c>
      <c r="M216">
        <f t="shared" si="18"/>
        <v>0</v>
      </c>
      <c r="N216" s="2" t="str">
        <f t="shared" si="19"/>
        <v>Normal</v>
      </c>
      <c r="O216" s="2">
        <f t="shared" si="20"/>
        <v>0</v>
      </c>
      <c r="P216" s="2" t="str">
        <f t="shared" si="21"/>
        <v>Normal</v>
      </c>
    </row>
    <row r="217" spans="1:16" x14ac:dyDescent="0.35">
      <c r="A217">
        <v>822.15</v>
      </c>
      <c r="B217">
        <v>15620.85</v>
      </c>
      <c r="C217">
        <v>11745</v>
      </c>
      <c r="D217">
        <v>3875.8500000000004</v>
      </c>
      <c r="E217" s="1">
        <v>41518</v>
      </c>
      <c r="F217">
        <v>9</v>
      </c>
      <c r="G217" s="2" t="s">
        <v>16</v>
      </c>
      <c r="H217">
        <v>2013</v>
      </c>
      <c r="I217">
        <v>12567.15</v>
      </c>
      <c r="J217">
        <v>0</v>
      </c>
      <c r="K217">
        <f t="shared" si="16"/>
        <v>-0.6509555585476976</v>
      </c>
      <c r="L217" t="str">
        <f t="shared" si="17"/>
        <v>Normal</v>
      </c>
      <c r="M217">
        <f t="shared" si="18"/>
        <v>0</v>
      </c>
      <c r="N217" s="2" t="str">
        <f t="shared" si="19"/>
        <v>Normal</v>
      </c>
      <c r="O217" s="2">
        <f t="shared" si="20"/>
        <v>0</v>
      </c>
      <c r="P217" s="2" t="str">
        <f t="shared" si="21"/>
        <v>Normal</v>
      </c>
    </row>
    <row r="218" spans="1:16" x14ac:dyDescent="0.35">
      <c r="A218">
        <v>941.15</v>
      </c>
      <c r="B218">
        <v>17881.849999999999</v>
      </c>
      <c r="C218">
        <v>13445</v>
      </c>
      <c r="D218">
        <v>4436.8499999999985</v>
      </c>
      <c r="E218" s="1">
        <v>41913</v>
      </c>
      <c r="F218">
        <v>10</v>
      </c>
      <c r="G218" s="2" t="s">
        <v>17</v>
      </c>
      <c r="H218">
        <v>2014</v>
      </c>
      <c r="I218">
        <v>14386.15</v>
      </c>
      <c r="J218">
        <v>0</v>
      </c>
      <c r="K218">
        <f t="shared" si="16"/>
        <v>-0.64139761638386161</v>
      </c>
      <c r="L218" t="str">
        <f t="shared" si="17"/>
        <v>Normal</v>
      </c>
      <c r="M218">
        <f t="shared" si="18"/>
        <v>0</v>
      </c>
      <c r="N218" s="2" t="str">
        <f t="shared" si="19"/>
        <v>Normal</v>
      </c>
      <c r="O218" s="2">
        <f t="shared" si="20"/>
        <v>0</v>
      </c>
      <c r="P218" s="2" t="str">
        <f t="shared" si="21"/>
        <v>Normal</v>
      </c>
    </row>
    <row r="219" spans="1:16" x14ac:dyDescent="0.35">
      <c r="A219">
        <v>1458.6</v>
      </c>
      <c r="B219">
        <v>27713.4</v>
      </c>
      <c r="C219">
        <v>7293</v>
      </c>
      <c r="D219">
        <v>20420.400000000001</v>
      </c>
      <c r="E219" s="1">
        <v>41974</v>
      </c>
      <c r="F219">
        <v>12</v>
      </c>
      <c r="G219" s="2" t="s">
        <v>12</v>
      </c>
      <c r="H219">
        <v>2014</v>
      </c>
      <c r="I219">
        <v>8751.6</v>
      </c>
      <c r="J219">
        <v>0</v>
      </c>
      <c r="K219">
        <f t="shared" si="16"/>
        <v>-0.59983663173951773</v>
      </c>
      <c r="L219" t="str">
        <f t="shared" si="17"/>
        <v>Normal</v>
      </c>
      <c r="M219">
        <f t="shared" si="18"/>
        <v>0</v>
      </c>
      <c r="N219" s="2" t="str">
        <f t="shared" si="19"/>
        <v>Normal</v>
      </c>
      <c r="O219" s="2">
        <f t="shared" si="20"/>
        <v>0</v>
      </c>
      <c r="P219" s="2" t="str">
        <f t="shared" si="21"/>
        <v>Normal</v>
      </c>
    </row>
    <row r="220" spans="1:16" x14ac:dyDescent="0.35">
      <c r="A220">
        <v>1458.6</v>
      </c>
      <c r="B220">
        <v>27713.4</v>
      </c>
      <c r="C220">
        <v>7293</v>
      </c>
      <c r="D220">
        <v>20420.400000000001</v>
      </c>
      <c r="E220" s="1">
        <v>41974</v>
      </c>
      <c r="F220">
        <v>12</v>
      </c>
      <c r="G220" s="2" t="s">
        <v>12</v>
      </c>
      <c r="H220">
        <v>2014</v>
      </c>
      <c r="I220">
        <v>8751.6</v>
      </c>
      <c r="J220">
        <v>0</v>
      </c>
      <c r="K220">
        <f t="shared" si="16"/>
        <v>-0.59983663173951773</v>
      </c>
      <c r="L220" t="str">
        <f t="shared" si="17"/>
        <v>Normal</v>
      </c>
      <c r="M220">
        <f t="shared" si="18"/>
        <v>0</v>
      </c>
      <c r="N220" s="2" t="str">
        <f t="shared" si="19"/>
        <v>Normal</v>
      </c>
      <c r="O220" s="2">
        <f t="shared" si="20"/>
        <v>0</v>
      </c>
      <c r="P220" s="2" t="str">
        <f t="shared" si="21"/>
        <v>Normal</v>
      </c>
    </row>
    <row r="221" spans="1:16" x14ac:dyDescent="0.35">
      <c r="A221">
        <v>941.15</v>
      </c>
      <c r="B221">
        <v>17881.849999999999</v>
      </c>
      <c r="C221">
        <v>13445</v>
      </c>
      <c r="D221">
        <v>4436.8499999999985</v>
      </c>
      <c r="E221" s="1">
        <v>41913</v>
      </c>
      <c r="F221">
        <v>10</v>
      </c>
      <c r="G221" s="2" t="s">
        <v>17</v>
      </c>
      <c r="H221">
        <v>2014</v>
      </c>
      <c r="I221">
        <v>14386.15</v>
      </c>
      <c r="J221">
        <v>0</v>
      </c>
      <c r="K221">
        <f t="shared" si="16"/>
        <v>-0.64139761638386161</v>
      </c>
      <c r="L221" t="str">
        <f t="shared" si="17"/>
        <v>Normal</v>
      </c>
      <c r="M221">
        <f t="shared" si="18"/>
        <v>0</v>
      </c>
      <c r="N221" s="2" t="str">
        <f t="shared" si="19"/>
        <v>Normal</v>
      </c>
      <c r="O221" s="2">
        <f t="shared" si="20"/>
        <v>0</v>
      </c>
      <c r="P221" s="2" t="str">
        <f t="shared" si="21"/>
        <v>Normal</v>
      </c>
    </row>
    <row r="222" spans="1:16" x14ac:dyDescent="0.35">
      <c r="A222">
        <v>589.04999999999995</v>
      </c>
      <c r="B222">
        <v>11191.95</v>
      </c>
      <c r="C222">
        <v>8415</v>
      </c>
      <c r="D222">
        <v>2776.9500000000007</v>
      </c>
      <c r="E222" s="1">
        <v>41821</v>
      </c>
      <c r="F222">
        <v>7</v>
      </c>
      <c r="G222" s="2" t="s">
        <v>14</v>
      </c>
      <c r="H222">
        <v>2014</v>
      </c>
      <c r="I222">
        <v>9004.0499999999993</v>
      </c>
      <c r="J222">
        <v>0</v>
      </c>
      <c r="K222">
        <f t="shared" si="16"/>
        <v>-0.66967788055097621</v>
      </c>
      <c r="L222" t="str">
        <f t="shared" si="17"/>
        <v>Normal</v>
      </c>
      <c r="M222">
        <f t="shared" si="18"/>
        <v>0</v>
      </c>
      <c r="N222" s="2" t="str">
        <f t="shared" si="19"/>
        <v>Normal</v>
      </c>
      <c r="O222" s="2">
        <f t="shared" si="20"/>
        <v>0</v>
      </c>
      <c r="P222" s="2" t="str">
        <f t="shared" si="21"/>
        <v>Normal</v>
      </c>
    </row>
    <row r="223" spans="1:16" x14ac:dyDescent="0.35">
      <c r="A223">
        <v>673.8</v>
      </c>
      <c r="B223">
        <v>12802.2</v>
      </c>
      <c r="C223">
        <v>3369</v>
      </c>
      <c r="D223">
        <v>9433.2000000000007</v>
      </c>
      <c r="E223" s="1">
        <v>41852</v>
      </c>
      <c r="F223">
        <v>8</v>
      </c>
      <c r="G223" s="2" t="s">
        <v>15</v>
      </c>
      <c r="H223">
        <v>2014</v>
      </c>
      <c r="I223">
        <v>4042.8</v>
      </c>
      <c r="J223">
        <v>0</v>
      </c>
      <c r="K223">
        <f t="shared" si="16"/>
        <v>-0.66287085871580731</v>
      </c>
      <c r="L223" t="str">
        <f t="shared" si="17"/>
        <v>Normal</v>
      </c>
      <c r="M223">
        <f t="shared" si="18"/>
        <v>0</v>
      </c>
      <c r="N223" s="2" t="str">
        <f t="shared" si="19"/>
        <v>Normal</v>
      </c>
      <c r="O223" s="2">
        <f t="shared" si="20"/>
        <v>0</v>
      </c>
      <c r="P223" s="2" t="str">
        <f t="shared" si="21"/>
        <v>Normal</v>
      </c>
    </row>
    <row r="224" spans="1:16" x14ac:dyDescent="0.35">
      <c r="A224">
        <v>405.65</v>
      </c>
      <c r="B224">
        <v>7707.35</v>
      </c>
      <c r="C224">
        <v>5795</v>
      </c>
      <c r="D224">
        <v>1912.3500000000004</v>
      </c>
      <c r="E224" s="1">
        <v>41548</v>
      </c>
      <c r="F224">
        <v>10</v>
      </c>
      <c r="G224" s="2" t="s">
        <v>17</v>
      </c>
      <c r="H224">
        <v>2013</v>
      </c>
      <c r="I224">
        <v>6200.65</v>
      </c>
      <c r="J224">
        <v>0</v>
      </c>
      <c r="K224">
        <f t="shared" si="16"/>
        <v>-0.6844083561211235</v>
      </c>
      <c r="L224" t="str">
        <f t="shared" si="17"/>
        <v>Normal</v>
      </c>
      <c r="M224">
        <f t="shared" si="18"/>
        <v>0</v>
      </c>
      <c r="N224" s="2" t="str">
        <f t="shared" si="19"/>
        <v>Normal</v>
      </c>
      <c r="O224" s="2">
        <f t="shared" si="20"/>
        <v>0</v>
      </c>
      <c r="P224" s="2" t="str">
        <f t="shared" si="21"/>
        <v>Normal</v>
      </c>
    </row>
    <row r="225" spans="1:16" x14ac:dyDescent="0.35">
      <c r="A225">
        <v>1119</v>
      </c>
      <c r="B225">
        <v>21261</v>
      </c>
      <c r="C225">
        <v>5595</v>
      </c>
      <c r="D225">
        <v>15666</v>
      </c>
      <c r="E225" s="1">
        <v>41671</v>
      </c>
      <c r="F225">
        <v>2</v>
      </c>
      <c r="G225" s="2" t="s">
        <v>18</v>
      </c>
      <c r="H225">
        <v>2014</v>
      </c>
      <c r="I225">
        <v>6714</v>
      </c>
      <c r="J225">
        <v>0</v>
      </c>
      <c r="K225">
        <f t="shared" si="16"/>
        <v>-0.6271129103852211</v>
      </c>
      <c r="L225" t="str">
        <f t="shared" si="17"/>
        <v>Normal</v>
      </c>
      <c r="M225">
        <f t="shared" si="18"/>
        <v>0</v>
      </c>
      <c r="N225" s="2" t="str">
        <f t="shared" si="19"/>
        <v>Normal</v>
      </c>
      <c r="O225" s="2">
        <f t="shared" si="20"/>
        <v>0</v>
      </c>
      <c r="P225" s="2" t="str">
        <f t="shared" si="21"/>
        <v>Normal</v>
      </c>
    </row>
    <row r="226" spans="1:16" x14ac:dyDescent="0.35">
      <c r="A226">
        <v>669.6</v>
      </c>
      <c r="B226">
        <v>12722.4</v>
      </c>
      <c r="C226">
        <v>3348</v>
      </c>
      <c r="D226">
        <v>9374.4</v>
      </c>
      <c r="E226" s="1">
        <v>41671</v>
      </c>
      <c r="F226">
        <v>2</v>
      </c>
      <c r="G226" s="2" t="s">
        <v>18</v>
      </c>
      <c r="H226">
        <v>2014</v>
      </c>
      <c r="I226">
        <v>4017.6</v>
      </c>
      <c r="J226">
        <v>0</v>
      </c>
      <c r="K226">
        <f t="shared" si="16"/>
        <v>-0.6632081978510016</v>
      </c>
      <c r="L226" t="str">
        <f t="shared" si="17"/>
        <v>Normal</v>
      </c>
      <c r="M226">
        <f t="shared" si="18"/>
        <v>0</v>
      </c>
      <c r="N226" s="2" t="str">
        <f t="shared" si="19"/>
        <v>Normal</v>
      </c>
      <c r="O226" s="2">
        <f t="shared" si="20"/>
        <v>0</v>
      </c>
      <c r="P226" s="2" t="str">
        <f t="shared" si="21"/>
        <v>Normal</v>
      </c>
    </row>
    <row r="227" spans="1:16" x14ac:dyDescent="0.35">
      <c r="A227">
        <v>1563</v>
      </c>
      <c r="B227">
        <v>29697</v>
      </c>
      <c r="C227">
        <v>15630</v>
      </c>
      <c r="D227">
        <v>14067</v>
      </c>
      <c r="E227" s="1">
        <v>41760</v>
      </c>
      <c r="F227">
        <v>5</v>
      </c>
      <c r="G227" s="2" t="s">
        <v>21</v>
      </c>
      <c r="H227">
        <v>2014</v>
      </c>
      <c r="I227">
        <v>17193</v>
      </c>
      <c r="J227">
        <v>0</v>
      </c>
      <c r="K227">
        <f t="shared" si="16"/>
        <v>-0.59145134466469018</v>
      </c>
      <c r="L227" t="str">
        <f t="shared" si="17"/>
        <v>Normal</v>
      </c>
      <c r="M227">
        <f t="shared" si="18"/>
        <v>0</v>
      </c>
      <c r="N227" s="2" t="str">
        <f t="shared" si="19"/>
        <v>Normal</v>
      </c>
      <c r="O227" s="2">
        <f t="shared" si="20"/>
        <v>0</v>
      </c>
      <c r="P227" s="2" t="str">
        <f t="shared" si="21"/>
        <v>Normal</v>
      </c>
    </row>
    <row r="228" spans="1:16" x14ac:dyDescent="0.35">
      <c r="A228">
        <v>14865</v>
      </c>
      <c r="B228">
        <v>282435</v>
      </c>
      <c r="C228">
        <v>247750</v>
      </c>
      <c r="D228">
        <v>34685</v>
      </c>
      <c r="E228" s="1">
        <v>41791</v>
      </c>
      <c r="F228">
        <v>6</v>
      </c>
      <c r="G228" s="2" t="s">
        <v>11</v>
      </c>
      <c r="H228">
        <v>2014</v>
      </c>
      <c r="I228">
        <v>262615</v>
      </c>
      <c r="J228">
        <v>0</v>
      </c>
      <c r="K228">
        <f t="shared" si="16"/>
        <v>0.47694988780040287</v>
      </c>
      <c r="L228" t="str">
        <f t="shared" si="17"/>
        <v>Normal</v>
      </c>
      <c r="M228">
        <f t="shared" si="18"/>
        <v>0</v>
      </c>
      <c r="N228" s="2" t="str">
        <f t="shared" si="19"/>
        <v>Normal</v>
      </c>
      <c r="O228" s="2">
        <f t="shared" si="20"/>
        <v>0</v>
      </c>
      <c r="P228" s="2" t="str">
        <f t="shared" si="21"/>
        <v>Normal</v>
      </c>
    </row>
    <row r="229" spans="1:16" x14ac:dyDescent="0.35">
      <c r="A229">
        <v>355.6</v>
      </c>
      <c r="B229">
        <v>6756.4</v>
      </c>
      <c r="C229">
        <v>5080</v>
      </c>
      <c r="D229">
        <v>1676.3999999999996</v>
      </c>
      <c r="E229" s="1">
        <v>41579</v>
      </c>
      <c r="F229">
        <v>11</v>
      </c>
      <c r="G229" s="2" t="s">
        <v>19</v>
      </c>
      <c r="H229">
        <v>2013</v>
      </c>
      <c r="I229">
        <v>5435.6</v>
      </c>
      <c r="J229">
        <v>0</v>
      </c>
      <c r="K229">
        <f t="shared" si="16"/>
        <v>-0.68842831414885453</v>
      </c>
      <c r="L229" t="str">
        <f t="shared" si="17"/>
        <v>Normal</v>
      </c>
      <c r="M229">
        <f t="shared" si="18"/>
        <v>0</v>
      </c>
      <c r="N229" s="2" t="str">
        <f t="shared" si="19"/>
        <v>Normal</v>
      </c>
      <c r="O229" s="2">
        <f t="shared" si="20"/>
        <v>0</v>
      </c>
      <c r="P229" s="2" t="str">
        <f t="shared" si="21"/>
        <v>Normal</v>
      </c>
    </row>
    <row r="230" spans="1:16" x14ac:dyDescent="0.35">
      <c r="A230">
        <v>2093.25</v>
      </c>
      <c r="B230">
        <v>39771.75</v>
      </c>
      <c r="C230">
        <v>27910</v>
      </c>
      <c r="D230">
        <v>11861.75</v>
      </c>
      <c r="E230" s="1">
        <v>41944</v>
      </c>
      <c r="F230">
        <v>11</v>
      </c>
      <c r="G230" s="2" t="s">
        <v>19</v>
      </c>
      <c r="H230">
        <v>2014</v>
      </c>
      <c r="I230">
        <v>30003.25</v>
      </c>
      <c r="J230">
        <v>0</v>
      </c>
      <c r="K230">
        <f t="shared" si="16"/>
        <v>-0.54886227884642114</v>
      </c>
      <c r="L230" t="str">
        <f t="shared" si="17"/>
        <v>Normal</v>
      </c>
      <c r="M230">
        <f t="shared" si="18"/>
        <v>0</v>
      </c>
      <c r="N230" s="2" t="str">
        <f t="shared" si="19"/>
        <v>Normal</v>
      </c>
      <c r="O230" s="2">
        <f t="shared" si="20"/>
        <v>0</v>
      </c>
      <c r="P230" s="2" t="str">
        <f t="shared" si="21"/>
        <v>Normal</v>
      </c>
    </row>
    <row r="231" spans="1:16" x14ac:dyDescent="0.35">
      <c r="A231">
        <v>199.5</v>
      </c>
      <c r="B231">
        <v>3790.5</v>
      </c>
      <c r="C231">
        <v>2850</v>
      </c>
      <c r="D231">
        <v>940.5</v>
      </c>
      <c r="E231" s="1">
        <v>41974</v>
      </c>
      <c r="F231">
        <v>12</v>
      </c>
      <c r="G231" s="2" t="s">
        <v>12</v>
      </c>
      <c r="H231">
        <v>2014</v>
      </c>
      <c r="I231">
        <v>3049.5</v>
      </c>
      <c r="J231">
        <v>0</v>
      </c>
      <c r="K231">
        <f t="shared" si="16"/>
        <v>-0.7009660853402393</v>
      </c>
      <c r="L231" t="str">
        <f t="shared" si="17"/>
        <v>Normal</v>
      </c>
      <c r="M231">
        <f t="shared" si="18"/>
        <v>0</v>
      </c>
      <c r="N231" s="2" t="str">
        <f t="shared" si="19"/>
        <v>Normal</v>
      </c>
      <c r="O231" s="2">
        <f t="shared" si="20"/>
        <v>0</v>
      </c>
      <c r="P231" s="2" t="str">
        <f t="shared" si="21"/>
        <v>Normal</v>
      </c>
    </row>
    <row r="232" spans="1:16" x14ac:dyDescent="0.35">
      <c r="A232">
        <v>870.45</v>
      </c>
      <c r="B232">
        <v>16538.55</v>
      </c>
      <c r="C232">
        <v>12435</v>
      </c>
      <c r="D232">
        <v>4103.5499999999993</v>
      </c>
      <c r="E232" s="1">
        <v>41974</v>
      </c>
      <c r="F232">
        <v>12</v>
      </c>
      <c r="G232" s="2" t="s">
        <v>12</v>
      </c>
      <c r="H232">
        <v>2014</v>
      </c>
      <c r="I232">
        <v>13305.45</v>
      </c>
      <c r="J232">
        <v>0</v>
      </c>
      <c r="K232">
        <f t="shared" si="16"/>
        <v>-0.64707615849296418</v>
      </c>
      <c r="L232" t="str">
        <f t="shared" si="17"/>
        <v>Normal</v>
      </c>
      <c r="M232">
        <f t="shared" si="18"/>
        <v>0</v>
      </c>
      <c r="N232" s="2" t="str">
        <f t="shared" si="19"/>
        <v>Normal</v>
      </c>
      <c r="O232" s="2">
        <f t="shared" si="20"/>
        <v>0</v>
      </c>
      <c r="P232" s="2" t="str">
        <f t="shared" si="21"/>
        <v>Normal</v>
      </c>
    </row>
    <row r="233" spans="1:16" x14ac:dyDescent="0.35">
      <c r="A233">
        <v>24228.75</v>
      </c>
      <c r="B233">
        <v>460346.25</v>
      </c>
      <c r="C233">
        <v>359970</v>
      </c>
      <c r="D233">
        <v>100376.25</v>
      </c>
      <c r="E233" s="1">
        <v>41640</v>
      </c>
      <c r="F233">
        <v>1</v>
      </c>
      <c r="G233" s="2" t="s">
        <v>10</v>
      </c>
      <c r="H233">
        <v>2014</v>
      </c>
      <c r="I233">
        <v>384198.75</v>
      </c>
      <c r="J233">
        <v>0</v>
      </c>
      <c r="K233">
        <f t="shared" si="16"/>
        <v>1.2290354418896385</v>
      </c>
      <c r="L233" t="str">
        <f t="shared" si="17"/>
        <v>Normal</v>
      </c>
      <c r="M233">
        <f t="shared" si="18"/>
        <v>0</v>
      </c>
      <c r="N233" s="2" t="str">
        <f t="shared" si="19"/>
        <v>Normal</v>
      </c>
      <c r="O233" s="2">
        <f t="shared" si="20"/>
        <v>0</v>
      </c>
      <c r="P233" s="2" t="str">
        <f t="shared" si="21"/>
        <v>Normal</v>
      </c>
    </row>
    <row r="234" spans="1:16" x14ac:dyDescent="0.35">
      <c r="A234">
        <v>22668.75</v>
      </c>
      <c r="B234">
        <v>430706.25</v>
      </c>
      <c r="C234">
        <v>435240</v>
      </c>
      <c r="D234">
        <v>-4533.75</v>
      </c>
      <c r="E234" s="1">
        <v>41821</v>
      </c>
      <c r="F234">
        <v>7</v>
      </c>
      <c r="G234" s="2" t="s">
        <v>14</v>
      </c>
      <c r="H234">
        <v>2014</v>
      </c>
      <c r="I234">
        <v>457908.75</v>
      </c>
      <c r="J234">
        <v>0</v>
      </c>
      <c r="K234">
        <f t="shared" si="16"/>
        <v>1.1037380488175033</v>
      </c>
      <c r="L234" t="str">
        <f t="shared" si="17"/>
        <v>Normal</v>
      </c>
      <c r="M234">
        <f t="shared" si="18"/>
        <v>0</v>
      </c>
      <c r="N234" s="2" t="str">
        <f t="shared" si="19"/>
        <v>Normal</v>
      </c>
      <c r="O234" s="2">
        <f t="shared" si="20"/>
        <v>0</v>
      </c>
      <c r="P234" s="2" t="str">
        <f t="shared" si="21"/>
        <v>Normal</v>
      </c>
    </row>
    <row r="235" spans="1:16" x14ac:dyDescent="0.35">
      <c r="A235">
        <v>12600</v>
      </c>
      <c r="B235">
        <v>239400</v>
      </c>
      <c r="C235">
        <v>187200</v>
      </c>
      <c r="D235">
        <v>52200</v>
      </c>
      <c r="E235" s="1">
        <v>41518</v>
      </c>
      <c r="F235">
        <v>9</v>
      </c>
      <c r="G235" s="2" t="s">
        <v>16</v>
      </c>
      <c r="H235">
        <v>2013</v>
      </c>
      <c r="I235">
        <v>199800</v>
      </c>
      <c r="J235">
        <v>0</v>
      </c>
      <c r="K235">
        <f t="shared" si="16"/>
        <v>0.2950277113206678</v>
      </c>
      <c r="L235" t="str">
        <f t="shared" si="17"/>
        <v>Normal</v>
      </c>
      <c r="M235">
        <f t="shared" si="18"/>
        <v>0</v>
      </c>
      <c r="N235" s="2" t="str">
        <f t="shared" si="19"/>
        <v>Normal</v>
      </c>
      <c r="O235" s="2">
        <f t="shared" si="20"/>
        <v>0</v>
      </c>
      <c r="P235" s="2" t="str">
        <f t="shared" si="21"/>
        <v>Normal</v>
      </c>
    </row>
    <row r="236" spans="1:16" x14ac:dyDescent="0.35">
      <c r="A236">
        <v>1405.2</v>
      </c>
      <c r="B236">
        <v>26698.799999999999</v>
      </c>
      <c r="C236">
        <v>7026</v>
      </c>
      <c r="D236">
        <v>19672.8</v>
      </c>
      <c r="E236" s="1">
        <v>41944</v>
      </c>
      <c r="F236">
        <v>11</v>
      </c>
      <c r="G236" s="2" t="s">
        <v>19</v>
      </c>
      <c r="H236">
        <v>2014</v>
      </c>
      <c r="I236">
        <v>8431.2000000000007</v>
      </c>
      <c r="J236">
        <v>0</v>
      </c>
      <c r="K236">
        <f t="shared" si="16"/>
        <v>-0.60412565788698702</v>
      </c>
      <c r="L236" t="str">
        <f t="shared" si="17"/>
        <v>Normal</v>
      </c>
      <c r="M236">
        <f t="shared" si="18"/>
        <v>0</v>
      </c>
      <c r="N236" s="2" t="str">
        <f t="shared" si="19"/>
        <v>Normal</v>
      </c>
      <c r="O236" s="2">
        <f t="shared" si="20"/>
        <v>0</v>
      </c>
      <c r="P236" s="2" t="str">
        <f t="shared" si="21"/>
        <v>Normal</v>
      </c>
    </row>
    <row r="237" spans="1:16" x14ac:dyDescent="0.35">
      <c r="A237">
        <v>16500</v>
      </c>
      <c r="B237">
        <v>313500</v>
      </c>
      <c r="C237">
        <v>275000</v>
      </c>
      <c r="D237">
        <v>38500</v>
      </c>
      <c r="E237" s="1">
        <v>41609</v>
      </c>
      <c r="F237">
        <v>12</v>
      </c>
      <c r="G237" s="2" t="s">
        <v>12</v>
      </c>
      <c r="H237">
        <v>2013</v>
      </c>
      <c r="I237">
        <v>291500</v>
      </c>
      <c r="J237">
        <v>0</v>
      </c>
      <c r="K237">
        <f t="shared" si="16"/>
        <v>0.60827119400100638</v>
      </c>
      <c r="L237" t="str">
        <f t="shared" si="17"/>
        <v>Normal</v>
      </c>
      <c r="M237">
        <f t="shared" si="18"/>
        <v>0</v>
      </c>
      <c r="N237" s="2" t="str">
        <f t="shared" si="19"/>
        <v>Normal</v>
      </c>
      <c r="O237" s="2">
        <f t="shared" si="20"/>
        <v>0</v>
      </c>
      <c r="P237" s="2" t="str">
        <f t="shared" si="21"/>
        <v>Normal</v>
      </c>
    </row>
    <row r="238" spans="1:16" x14ac:dyDescent="0.35">
      <c r="A238">
        <v>1303</v>
      </c>
      <c r="B238">
        <v>24757</v>
      </c>
      <c r="C238">
        <v>13030</v>
      </c>
      <c r="D238">
        <v>11727</v>
      </c>
      <c r="E238" s="1">
        <v>41671</v>
      </c>
      <c r="F238">
        <v>2</v>
      </c>
      <c r="G238" s="2" t="s">
        <v>18</v>
      </c>
      <c r="H238">
        <v>2014</v>
      </c>
      <c r="I238">
        <v>14333</v>
      </c>
      <c r="J238">
        <v>0</v>
      </c>
      <c r="K238">
        <f t="shared" si="16"/>
        <v>-0.61233424351004617</v>
      </c>
      <c r="L238" t="str">
        <f t="shared" si="17"/>
        <v>Normal</v>
      </c>
      <c r="M238">
        <f t="shared" si="18"/>
        <v>0</v>
      </c>
      <c r="N238" s="2" t="str">
        <f t="shared" si="19"/>
        <v>Normal</v>
      </c>
      <c r="O238" s="2">
        <f t="shared" si="20"/>
        <v>0</v>
      </c>
      <c r="P238" s="2" t="str">
        <f t="shared" si="21"/>
        <v>Normal</v>
      </c>
    </row>
    <row r="239" spans="1:16" x14ac:dyDescent="0.35">
      <c r="A239">
        <v>18700</v>
      </c>
      <c r="B239">
        <v>355300</v>
      </c>
      <c r="C239">
        <v>359040</v>
      </c>
      <c r="D239">
        <v>-3740</v>
      </c>
      <c r="E239" s="1">
        <v>41699</v>
      </c>
      <c r="F239">
        <v>3</v>
      </c>
      <c r="G239" s="2" t="s">
        <v>13</v>
      </c>
      <c r="H239">
        <v>2014</v>
      </c>
      <c r="I239">
        <v>377740</v>
      </c>
      <c r="J239">
        <v>0</v>
      </c>
      <c r="K239">
        <f t="shared" si="16"/>
        <v>0.7849726457694024</v>
      </c>
      <c r="L239" t="str">
        <f t="shared" si="17"/>
        <v>Normal</v>
      </c>
      <c r="M239">
        <f t="shared" si="18"/>
        <v>0</v>
      </c>
      <c r="N239" s="2" t="str">
        <f t="shared" si="19"/>
        <v>Normal</v>
      </c>
      <c r="O239" s="2">
        <f t="shared" si="20"/>
        <v>0</v>
      </c>
      <c r="P239" s="2" t="str">
        <f t="shared" si="21"/>
        <v>Normal</v>
      </c>
    </row>
    <row r="240" spans="1:16" x14ac:dyDescent="0.35">
      <c r="A240">
        <v>14906.25</v>
      </c>
      <c r="B240">
        <v>283218.75</v>
      </c>
      <c r="C240">
        <v>286200</v>
      </c>
      <c r="D240">
        <v>-2981.25</v>
      </c>
      <c r="E240" s="1">
        <v>41699</v>
      </c>
      <c r="F240">
        <v>3</v>
      </c>
      <c r="G240" s="2" t="s">
        <v>13</v>
      </c>
      <c r="H240">
        <v>2014</v>
      </c>
      <c r="I240">
        <v>301106.25</v>
      </c>
      <c r="J240">
        <v>0</v>
      </c>
      <c r="K240">
        <f t="shared" si="16"/>
        <v>0.48026304002106029</v>
      </c>
      <c r="L240" t="str">
        <f t="shared" si="17"/>
        <v>Normal</v>
      </c>
      <c r="M240">
        <f t="shared" si="18"/>
        <v>0</v>
      </c>
      <c r="N240" s="2" t="str">
        <f t="shared" si="19"/>
        <v>Normal</v>
      </c>
      <c r="O240" s="2">
        <f t="shared" si="20"/>
        <v>0</v>
      </c>
      <c r="P240" s="2" t="str">
        <f t="shared" si="21"/>
        <v>Normal</v>
      </c>
    </row>
    <row r="241" spans="1:16" x14ac:dyDescent="0.35">
      <c r="A241">
        <v>24105</v>
      </c>
      <c r="B241">
        <v>457995</v>
      </c>
      <c r="C241">
        <v>401750</v>
      </c>
      <c r="D241">
        <v>56245</v>
      </c>
      <c r="E241" s="1">
        <v>41730</v>
      </c>
      <c r="F241">
        <v>4</v>
      </c>
      <c r="G241" s="2" t="s">
        <v>20</v>
      </c>
      <c r="H241">
        <v>2014</v>
      </c>
      <c r="I241">
        <v>425855</v>
      </c>
      <c r="J241">
        <v>0</v>
      </c>
      <c r="K241">
        <f t="shared" si="16"/>
        <v>1.2190959852276664</v>
      </c>
      <c r="L241" t="str">
        <f t="shared" si="17"/>
        <v>Normal</v>
      </c>
      <c r="M241">
        <f t="shared" si="18"/>
        <v>0</v>
      </c>
      <c r="N241" s="2" t="str">
        <f t="shared" si="19"/>
        <v>Normal</v>
      </c>
      <c r="O241" s="2">
        <f t="shared" si="20"/>
        <v>0</v>
      </c>
      <c r="P241" s="2" t="str">
        <f t="shared" si="21"/>
        <v>Normal</v>
      </c>
    </row>
    <row r="242" spans="1:16" x14ac:dyDescent="0.35">
      <c r="A242">
        <v>814.45</v>
      </c>
      <c r="B242">
        <v>15474.55</v>
      </c>
      <c r="C242">
        <v>11635</v>
      </c>
      <c r="D242">
        <v>3839.5499999999993</v>
      </c>
      <c r="E242" s="1">
        <v>41760</v>
      </c>
      <c r="F242">
        <v>5</v>
      </c>
      <c r="G242" s="2" t="s">
        <v>21</v>
      </c>
      <c r="H242">
        <v>2014</v>
      </c>
      <c r="I242">
        <v>12449.45</v>
      </c>
      <c r="J242">
        <v>0</v>
      </c>
      <c r="K242">
        <f t="shared" si="16"/>
        <v>-0.65157401362888701</v>
      </c>
      <c r="L242" t="str">
        <f t="shared" si="17"/>
        <v>Normal</v>
      </c>
      <c r="M242">
        <f t="shared" si="18"/>
        <v>0</v>
      </c>
      <c r="N242" s="2" t="str">
        <f t="shared" si="19"/>
        <v>Normal</v>
      </c>
      <c r="O242" s="2">
        <f t="shared" si="20"/>
        <v>0</v>
      </c>
      <c r="P242" s="2" t="str">
        <f t="shared" si="21"/>
        <v>Normal</v>
      </c>
    </row>
    <row r="243" spans="1:16" x14ac:dyDescent="0.35">
      <c r="A243">
        <v>14865</v>
      </c>
      <c r="B243">
        <v>282435</v>
      </c>
      <c r="C243">
        <v>247750</v>
      </c>
      <c r="D243">
        <v>34685</v>
      </c>
      <c r="E243" s="1">
        <v>41791</v>
      </c>
      <c r="F243">
        <v>6</v>
      </c>
      <c r="G243" s="2" t="s">
        <v>11</v>
      </c>
      <c r="H243">
        <v>2014</v>
      </c>
      <c r="I243">
        <v>262615</v>
      </c>
      <c r="J243">
        <v>0</v>
      </c>
      <c r="K243">
        <f t="shared" si="16"/>
        <v>0.47694988780040287</v>
      </c>
      <c r="L243" t="str">
        <f t="shared" si="17"/>
        <v>Normal</v>
      </c>
      <c r="M243">
        <f t="shared" si="18"/>
        <v>0</v>
      </c>
      <c r="N243" s="2" t="str">
        <f t="shared" si="19"/>
        <v>Normal</v>
      </c>
      <c r="O243" s="2">
        <f t="shared" si="20"/>
        <v>0</v>
      </c>
      <c r="P243" s="2" t="str">
        <f t="shared" si="21"/>
        <v>Normal</v>
      </c>
    </row>
    <row r="244" spans="1:16" x14ac:dyDescent="0.35">
      <c r="A244">
        <v>10535</v>
      </c>
      <c r="B244">
        <v>200165</v>
      </c>
      <c r="C244">
        <v>156520</v>
      </c>
      <c r="D244">
        <v>43645</v>
      </c>
      <c r="E244" s="1">
        <v>41791</v>
      </c>
      <c r="F244">
        <v>6</v>
      </c>
      <c r="G244" s="2" t="s">
        <v>11</v>
      </c>
      <c r="H244">
        <v>2014</v>
      </c>
      <c r="I244">
        <v>167055</v>
      </c>
      <c r="J244">
        <v>0</v>
      </c>
      <c r="K244">
        <f t="shared" si="16"/>
        <v>0.12916930318351419</v>
      </c>
      <c r="L244" t="str">
        <f t="shared" si="17"/>
        <v>Normal</v>
      </c>
      <c r="M244">
        <f t="shared" si="18"/>
        <v>0</v>
      </c>
      <c r="N244" s="2" t="str">
        <f t="shared" si="19"/>
        <v>Normal</v>
      </c>
      <c r="O244" s="2">
        <f t="shared" si="20"/>
        <v>0</v>
      </c>
      <c r="P244" s="2" t="str">
        <f t="shared" si="21"/>
        <v>Normal</v>
      </c>
    </row>
    <row r="245" spans="1:16" x14ac:dyDescent="0.35">
      <c r="A245">
        <v>1965</v>
      </c>
      <c r="B245">
        <v>37335</v>
      </c>
      <c r="C245">
        <v>26200</v>
      </c>
      <c r="D245">
        <v>11135</v>
      </c>
      <c r="E245" s="1">
        <v>41883</v>
      </c>
      <c r="F245">
        <v>9</v>
      </c>
      <c r="G245" s="2" t="s">
        <v>16</v>
      </c>
      <c r="H245">
        <v>2014</v>
      </c>
      <c r="I245">
        <v>28165</v>
      </c>
      <c r="J245">
        <v>0</v>
      </c>
      <c r="K245">
        <f t="shared" si="16"/>
        <v>-0.55916317029610152</v>
      </c>
      <c r="L245" t="str">
        <f t="shared" si="17"/>
        <v>Normal</v>
      </c>
      <c r="M245">
        <f t="shared" si="18"/>
        <v>0</v>
      </c>
      <c r="N245" s="2" t="str">
        <f t="shared" si="19"/>
        <v>Normal</v>
      </c>
      <c r="O245" s="2">
        <f t="shared" si="20"/>
        <v>0</v>
      </c>
      <c r="P245" s="2" t="str">
        <f t="shared" si="21"/>
        <v>Normal</v>
      </c>
    </row>
    <row r="246" spans="1:16" x14ac:dyDescent="0.35">
      <c r="A246">
        <v>21490</v>
      </c>
      <c r="B246">
        <v>408310</v>
      </c>
      <c r="C246">
        <v>319280</v>
      </c>
      <c r="D246">
        <v>89030</v>
      </c>
      <c r="E246" s="1">
        <v>41548</v>
      </c>
      <c r="F246">
        <v>10</v>
      </c>
      <c r="G246" s="2" t="s">
        <v>17</v>
      </c>
      <c r="H246">
        <v>2013</v>
      </c>
      <c r="I246">
        <v>340770</v>
      </c>
      <c r="J246">
        <v>0</v>
      </c>
      <c r="K246">
        <f t="shared" si="16"/>
        <v>1.0090622141484138</v>
      </c>
      <c r="L246" t="str">
        <f t="shared" si="17"/>
        <v>Normal</v>
      </c>
      <c r="M246">
        <f t="shared" si="18"/>
        <v>0</v>
      </c>
      <c r="N246" s="2" t="str">
        <f t="shared" si="19"/>
        <v>Normal</v>
      </c>
      <c r="O246" s="2">
        <f t="shared" si="20"/>
        <v>0</v>
      </c>
      <c r="P246" s="2" t="str">
        <f t="shared" si="21"/>
        <v>Normal</v>
      </c>
    </row>
    <row r="247" spans="1:16" x14ac:dyDescent="0.35">
      <c r="A247">
        <v>1389</v>
      </c>
      <c r="B247">
        <v>26391</v>
      </c>
      <c r="C247">
        <v>13890</v>
      </c>
      <c r="D247">
        <v>12501</v>
      </c>
      <c r="E247" s="1">
        <v>41548</v>
      </c>
      <c r="F247">
        <v>10</v>
      </c>
      <c r="G247" s="2" t="s">
        <v>17</v>
      </c>
      <c r="H247">
        <v>2013</v>
      </c>
      <c r="I247">
        <v>15279</v>
      </c>
      <c r="J247">
        <v>0</v>
      </c>
      <c r="K247">
        <f t="shared" si="16"/>
        <v>-0.6054268231227361</v>
      </c>
      <c r="L247" t="str">
        <f t="shared" si="17"/>
        <v>Normal</v>
      </c>
      <c r="M247">
        <f t="shared" si="18"/>
        <v>0</v>
      </c>
      <c r="N247" s="2" t="str">
        <f t="shared" si="19"/>
        <v>Normal</v>
      </c>
      <c r="O247" s="2">
        <f t="shared" si="20"/>
        <v>0</v>
      </c>
      <c r="P247" s="2" t="str">
        <f t="shared" si="21"/>
        <v>Normal</v>
      </c>
    </row>
    <row r="248" spans="1:16" x14ac:dyDescent="0.35">
      <c r="A248">
        <v>5381.25</v>
      </c>
      <c r="B248">
        <v>102243.75</v>
      </c>
      <c r="C248">
        <v>103320</v>
      </c>
      <c r="D248">
        <v>-1076.25</v>
      </c>
      <c r="E248" s="1">
        <v>41913</v>
      </c>
      <c r="F248">
        <v>10</v>
      </c>
      <c r="G248" s="2" t="s">
        <v>17</v>
      </c>
      <c r="H248">
        <v>2014</v>
      </c>
      <c r="I248">
        <v>108701.25</v>
      </c>
      <c r="J248">
        <v>0</v>
      </c>
      <c r="K248">
        <f t="shared" si="16"/>
        <v>-0.28477392729438189</v>
      </c>
      <c r="L248" t="str">
        <f t="shared" si="17"/>
        <v>Normal</v>
      </c>
      <c r="M248">
        <f t="shared" si="18"/>
        <v>0</v>
      </c>
      <c r="N248" s="2" t="str">
        <f t="shared" si="19"/>
        <v>Normal</v>
      </c>
      <c r="O248" s="2">
        <f t="shared" si="20"/>
        <v>0</v>
      </c>
      <c r="P248" s="2" t="str">
        <f t="shared" si="21"/>
        <v>Normal</v>
      </c>
    </row>
    <row r="249" spans="1:16" x14ac:dyDescent="0.35">
      <c r="A249">
        <v>4400</v>
      </c>
      <c r="B249">
        <v>83600</v>
      </c>
      <c r="C249">
        <v>84480</v>
      </c>
      <c r="D249">
        <v>-880</v>
      </c>
      <c r="E249" s="1">
        <v>41548</v>
      </c>
      <c r="F249">
        <v>10</v>
      </c>
      <c r="G249" s="2" t="s">
        <v>17</v>
      </c>
      <c r="H249">
        <v>2013</v>
      </c>
      <c r="I249">
        <v>88880</v>
      </c>
      <c r="J249">
        <v>0</v>
      </c>
      <c r="K249">
        <f t="shared" si="16"/>
        <v>-0.36358679072517219</v>
      </c>
      <c r="L249" t="str">
        <f t="shared" si="17"/>
        <v>Normal</v>
      </c>
      <c r="M249">
        <f t="shared" si="18"/>
        <v>0</v>
      </c>
      <c r="N249" s="2" t="str">
        <f t="shared" si="19"/>
        <v>Normal</v>
      </c>
      <c r="O249" s="2">
        <f t="shared" si="20"/>
        <v>0</v>
      </c>
      <c r="P249" s="2" t="str">
        <f t="shared" si="21"/>
        <v>Normal</v>
      </c>
    </row>
    <row r="250" spans="1:16" x14ac:dyDescent="0.35">
      <c r="A250">
        <v>1802</v>
      </c>
      <c r="B250">
        <v>34238</v>
      </c>
      <c r="C250">
        <v>18020</v>
      </c>
      <c r="D250">
        <v>16218</v>
      </c>
      <c r="E250" s="1">
        <v>41609</v>
      </c>
      <c r="F250">
        <v>12</v>
      </c>
      <c r="G250" s="2" t="s">
        <v>12</v>
      </c>
      <c r="H250">
        <v>2013</v>
      </c>
      <c r="I250">
        <v>19822</v>
      </c>
      <c r="J250">
        <v>0</v>
      </c>
      <c r="K250">
        <f t="shared" si="16"/>
        <v>-0.57225514149530532</v>
      </c>
      <c r="L250" t="str">
        <f t="shared" si="17"/>
        <v>Normal</v>
      </c>
      <c r="M250">
        <f t="shared" si="18"/>
        <v>0</v>
      </c>
      <c r="N250" s="2" t="str">
        <f t="shared" si="19"/>
        <v>Normal</v>
      </c>
      <c r="O250" s="2">
        <f t="shared" si="20"/>
        <v>0</v>
      </c>
      <c r="P250" s="2" t="str">
        <f t="shared" si="21"/>
        <v>Normal</v>
      </c>
    </row>
    <row r="251" spans="1:16" x14ac:dyDescent="0.35">
      <c r="A251">
        <v>2663</v>
      </c>
      <c r="B251">
        <v>50597</v>
      </c>
      <c r="C251">
        <v>26630</v>
      </c>
      <c r="D251">
        <v>23967</v>
      </c>
      <c r="E251" s="1">
        <v>41974</v>
      </c>
      <c r="F251">
        <v>12</v>
      </c>
      <c r="G251" s="2" t="s">
        <v>12</v>
      </c>
      <c r="H251">
        <v>2014</v>
      </c>
      <c r="I251">
        <v>29293</v>
      </c>
      <c r="J251">
        <v>0</v>
      </c>
      <c r="K251">
        <f t="shared" si="16"/>
        <v>-0.50310061878049217</v>
      </c>
      <c r="L251" t="str">
        <f t="shared" si="17"/>
        <v>Normal</v>
      </c>
      <c r="M251">
        <f t="shared" si="18"/>
        <v>0</v>
      </c>
      <c r="N251" s="2" t="str">
        <f t="shared" si="19"/>
        <v>Normal</v>
      </c>
      <c r="O251" s="2">
        <f t="shared" si="20"/>
        <v>0</v>
      </c>
      <c r="P251" s="2" t="str">
        <f t="shared" si="21"/>
        <v>Normal</v>
      </c>
    </row>
    <row r="252" spans="1:16" x14ac:dyDescent="0.35">
      <c r="A252">
        <v>747.6</v>
      </c>
      <c r="B252">
        <v>14204.4</v>
      </c>
      <c r="C252">
        <v>10680</v>
      </c>
      <c r="D252">
        <v>3524.3999999999996</v>
      </c>
      <c r="E252" s="1">
        <v>41609</v>
      </c>
      <c r="F252">
        <v>12</v>
      </c>
      <c r="G252" s="2" t="s">
        <v>12</v>
      </c>
      <c r="H252">
        <v>2013</v>
      </c>
      <c r="I252">
        <v>11427.6</v>
      </c>
      <c r="J252">
        <v>0</v>
      </c>
      <c r="K252">
        <f t="shared" si="16"/>
        <v>-0.65694332819739487</v>
      </c>
      <c r="L252" t="str">
        <f t="shared" si="17"/>
        <v>Normal</v>
      </c>
      <c r="M252">
        <f t="shared" si="18"/>
        <v>0</v>
      </c>
      <c r="N252" s="2" t="str">
        <f t="shared" si="19"/>
        <v>Normal</v>
      </c>
      <c r="O252" s="2">
        <f t="shared" si="20"/>
        <v>0</v>
      </c>
      <c r="P252" s="2" t="str">
        <f t="shared" si="21"/>
        <v>Normal</v>
      </c>
    </row>
    <row r="253" spans="1:16" x14ac:dyDescent="0.35">
      <c r="A253">
        <v>1587</v>
      </c>
      <c r="B253">
        <v>30153</v>
      </c>
      <c r="C253">
        <v>21160</v>
      </c>
      <c r="D253">
        <v>8993</v>
      </c>
      <c r="E253" s="1">
        <v>41609</v>
      </c>
      <c r="F253">
        <v>12</v>
      </c>
      <c r="G253" s="2" t="s">
        <v>12</v>
      </c>
      <c r="H253">
        <v>2013</v>
      </c>
      <c r="I253">
        <v>22747</v>
      </c>
      <c r="J253">
        <v>0</v>
      </c>
      <c r="K253">
        <f t="shared" si="16"/>
        <v>-0.5895236924635805</v>
      </c>
      <c r="L253" t="str">
        <f t="shared" si="17"/>
        <v>Normal</v>
      </c>
      <c r="M253">
        <f t="shared" si="18"/>
        <v>0</v>
      </c>
      <c r="N253" s="2" t="str">
        <f t="shared" si="19"/>
        <v>Normal</v>
      </c>
      <c r="O253" s="2">
        <f t="shared" si="20"/>
        <v>0</v>
      </c>
      <c r="P253" s="2" t="str">
        <f t="shared" si="21"/>
        <v>Normal</v>
      </c>
    </row>
    <row r="254" spans="1:16" x14ac:dyDescent="0.35">
      <c r="A254">
        <v>416.25</v>
      </c>
      <c r="B254">
        <v>7908.75</v>
      </c>
      <c r="C254">
        <v>5550</v>
      </c>
      <c r="D254">
        <v>2358.75</v>
      </c>
      <c r="E254" s="1">
        <v>41640</v>
      </c>
      <c r="F254">
        <v>1</v>
      </c>
      <c r="G254" s="2" t="s">
        <v>10</v>
      </c>
      <c r="H254">
        <v>2014</v>
      </c>
      <c r="I254">
        <v>5966.25</v>
      </c>
      <c r="J254">
        <v>0</v>
      </c>
      <c r="K254">
        <f t="shared" si="16"/>
        <v>-0.68355697639896673</v>
      </c>
      <c r="L254" t="str">
        <f t="shared" si="17"/>
        <v>Normal</v>
      </c>
      <c r="M254">
        <f t="shared" si="18"/>
        <v>0</v>
      </c>
      <c r="N254" s="2" t="str">
        <f t="shared" si="19"/>
        <v>Normal</v>
      </c>
      <c r="O254" s="2">
        <f t="shared" si="20"/>
        <v>0</v>
      </c>
      <c r="P254" s="2" t="str">
        <f t="shared" si="21"/>
        <v>Normal</v>
      </c>
    </row>
    <row r="255" spans="1:16" x14ac:dyDescent="0.35">
      <c r="A255">
        <v>2145.75</v>
      </c>
      <c r="B255">
        <v>40769.25</v>
      </c>
      <c r="C255">
        <v>28610</v>
      </c>
      <c r="D255">
        <v>12159.25</v>
      </c>
      <c r="E255" s="1">
        <v>41640</v>
      </c>
      <c r="F255">
        <v>1</v>
      </c>
      <c r="G255" s="2" t="s">
        <v>10</v>
      </c>
      <c r="H255">
        <v>2014</v>
      </c>
      <c r="I255">
        <v>30755.75</v>
      </c>
      <c r="J255">
        <v>0</v>
      </c>
      <c r="K255">
        <f t="shared" si="16"/>
        <v>-0.54464553965649354</v>
      </c>
      <c r="L255" t="str">
        <f t="shared" si="17"/>
        <v>Normal</v>
      </c>
      <c r="M255">
        <f t="shared" si="18"/>
        <v>0</v>
      </c>
      <c r="N255" s="2" t="str">
        <f t="shared" si="19"/>
        <v>Normal</v>
      </c>
      <c r="O255" s="2">
        <f t="shared" si="20"/>
        <v>0</v>
      </c>
      <c r="P255" s="2" t="str">
        <f t="shared" si="21"/>
        <v>Normal</v>
      </c>
    </row>
    <row r="256" spans="1:16" x14ac:dyDescent="0.35">
      <c r="A256">
        <v>5043.75</v>
      </c>
      <c r="B256">
        <v>95831.25</v>
      </c>
      <c r="C256">
        <v>96840</v>
      </c>
      <c r="D256">
        <v>-1008.75</v>
      </c>
      <c r="E256" s="1">
        <v>41671</v>
      </c>
      <c r="F256">
        <v>2</v>
      </c>
      <c r="G256" s="2" t="s">
        <v>18</v>
      </c>
      <c r="H256">
        <v>2014</v>
      </c>
      <c r="I256">
        <v>101883.75</v>
      </c>
      <c r="J256">
        <v>0</v>
      </c>
      <c r="K256">
        <f t="shared" si="16"/>
        <v>-0.31188153637248811</v>
      </c>
      <c r="L256" t="str">
        <f t="shared" si="17"/>
        <v>Normal</v>
      </c>
      <c r="M256">
        <f t="shared" si="18"/>
        <v>0</v>
      </c>
      <c r="N256" s="2" t="str">
        <f t="shared" si="19"/>
        <v>Normal</v>
      </c>
      <c r="O256" s="2">
        <f t="shared" si="20"/>
        <v>0</v>
      </c>
      <c r="P256" s="2" t="str">
        <f t="shared" si="21"/>
        <v>Normal</v>
      </c>
    </row>
    <row r="257" spans="1:16" x14ac:dyDescent="0.35">
      <c r="A257">
        <v>10535</v>
      </c>
      <c r="B257">
        <v>200165</v>
      </c>
      <c r="C257">
        <v>156520</v>
      </c>
      <c r="D257">
        <v>43645</v>
      </c>
      <c r="E257" s="1">
        <v>41791</v>
      </c>
      <c r="F257">
        <v>6</v>
      </c>
      <c r="G257" s="2" t="s">
        <v>11</v>
      </c>
      <c r="H257">
        <v>2014</v>
      </c>
      <c r="I257">
        <v>167055</v>
      </c>
      <c r="J257">
        <v>0</v>
      </c>
      <c r="K257">
        <f t="shared" si="16"/>
        <v>0.12916930318351419</v>
      </c>
      <c r="L257" t="str">
        <f t="shared" si="17"/>
        <v>Normal</v>
      </c>
      <c r="M257">
        <f t="shared" si="18"/>
        <v>0</v>
      </c>
      <c r="N257" s="2" t="str">
        <f t="shared" si="19"/>
        <v>Normal</v>
      </c>
      <c r="O257" s="2">
        <f t="shared" si="20"/>
        <v>0</v>
      </c>
      <c r="P257" s="2" t="str">
        <f t="shared" si="21"/>
        <v>Normal</v>
      </c>
    </row>
    <row r="258" spans="1:16" x14ac:dyDescent="0.35">
      <c r="A258">
        <v>2832</v>
      </c>
      <c r="B258">
        <v>53808</v>
      </c>
      <c r="C258">
        <v>28320</v>
      </c>
      <c r="D258">
        <v>25488</v>
      </c>
      <c r="E258" s="1">
        <v>41852</v>
      </c>
      <c r="F258">
        <v>8</v>
      </c>
      <c r="G258" s="2" t="s">
        <v>15</v>
      </c>
      <c r="H258">
        <v>2014</v>
      </c>
      <c r="I258">
        <v>31152</v>
      </c>
      <c r="J258">
        <v>0</v>
      </c>
      <c r="K258">
        <f t="shared" ref="K258:K321" si="22">(B258 - $U$2) / $U$3</f>
        <v>-0.48952673453101087</v>
      </c>
      <c r="L258" t="str">
        <f t="shared" ref="L258:L321" si="23">IF(ABS(K258) &gt; 3, "Anomaly", "Normal")</f>
        <v>Normal</v>
      </c>
      <c r="M258">
        <f t="shared" ref="M258:M321" si="24">IFERROR((I258-$S$6)/$S$7,0)</f>
        <v>0</v>
      </c>
      <c r="N258" s="2" t="str">
        <f t="shared" ref="N258:N321" si="25">IF(ABS(M258) &gt; 3, "Anomaly", "Normal")</f>
        <v>Normal</v>
      </c>
      <c r="O258" s="2">
        <f t="shared" ref="O258:O321" si="26">IFERROR((J258-$Q$2)/$Q$3,0)</f>
        <v>0</v>
      </c>
      <c r="P258" s="2" t="str">
        <f t="shared" ref="P258:P321" si="27">IF(ABS(O258)&gt;3,"Anomaly","Normal")</f>
        <v>Normal</v>
      </c>
    </row>
    <row r="259" spans="1:16" x14ac:dyDescent="0.35">
      <c r="A259">
        <v>1579</v>
      </c>
      <c r="B259">
        <v>30001</v>
      </c>
      <c r="C259">
        <v>15790</v>
      </c>
      <c r="D259">
        <v>14211</v>
      </c>
      <c r="E259" s="1">
        <v>41852</v>
      </c>
      <c r="F259">
        <v>8</v>
      </c>
      <c r="G259" s="2" t="s">
        <v>15</v>
      </c>
      <c r="H259">
        <v>2014</v>
      </c>
      <c r="I259">
        <v>17369</v>
      </c>
      <c r="J259">
        <v>0</v>
      </c>
      <c r="K259">
        <f t="shared" si="22"/>
        <v>-0.59016624319728372</v>
      </c>
      <c r="L259" t="str">
        <f t="shared" si="23"/>
        <v>Normal</v>
      </c>
      <c r="M259">
        <f t="shared" si="24"/>
        <v>0</v>
      </c>
      <c r="N259" s="2" t="str">
        <f t="shared" si="25"/>
        <v>Normal</v>
      </c>
      <c r="O259" s="2">
        <f t="shared" si="26"/>
        <v>0</v>
      </c>
      <c r="P259" s="2" t="str">
        <f t="shared" si="27"/>
        <v>Normal</v>
      </c>
    </row>
    <row r="260" spans="1:16" x14ac:dyDescent="0.35">
      <c r="A260">
        <v>5381.25</v>
      </c>
      <c r="B260">
        <v>102243.75</v>
      </c>
      <c r="C260">
        <v>103320</v>
      </c>
      <c r="D260">
        <v>-1076.25</v>
      </c>
      <c r="E260" s="1">
        <v>41913</v>
      </c>
      <c r="F260">
        <v>10</v>
      </c>
      <c r="G260" s="2" t="s">
        <v>17</v>
      </c>
      <c r="H260">
        <v>2014</v>
      </c>
      <c r="I260">
        <v>108701.25</v>
      </c>
      <c r="J260">
        <v>0</v>
      </c>
      <c r="K260">
        <f t="shared" si="22"/>
        <v>-0.28477392729438189</v>
      </c>
      <c r="L260" t="str">
        <f t="shared" si="23"/>
        <v>Normal</v>
      </c>
      <c r="M260">
        <f t="shared" si="24"/>
        <v>0</v>
      </c>
      <c r="N260" s="2" t="str">
        <f t="shared" si="25"/>
        <v>Normal</v>
      </c>
      <c r="O260" s="2">
        <f t="shared" si="26"/>
        <v>0</v>
      </c>
      <c r="P260" s="2" t="str">
        <f t="shared" si="27"/>
        <v>Normal</v>
      </c>
    </row>
    <row r="261" spans="1:16" x14ac:dyDescent="0.35">
      <c r="A261">
        <v>4400</v>
      </c>
      <c r="B261">
        <v>83600</v>
      </c>
      <c r="C261">
        <v>84480</v>
      </c>
      <c r="D261">
        <v>-880</v>
      </c>
      <c r="E261" s="1">
        <v>41548</v>
      </c>
      <c r="F261">
        <v>10</v>
      </c>
      <c r="G261" s="2" t="s">
        <v>17</v>
      </c>
      <c r="H261">
        <v>2013</v>
      </c>
      <c r="I261">
        <v>88880</v>
      </c>
      <c r="J261">
        <v>0</v>
      </c>
      <c r="K261">
        <f t="shared" si="22"/>
        <v>-0.36358679072517219</v>
      </c>
      <c r="L261" t="str">
        <f t="shared" si="23"/>
        <v>Normal</v>
      </c>
      <c r="M261">
        <f t="shared" si="24"/>
        <v>0</v>
      </c>
      <c r="N261" s="2" t="str">
        <f t="shared" si="25"/>
        <v>Normal</v>
      </c>
      <c r="O261" s="2">
        <f t="shared" si="26"/>
        <v>0</v>
      </c>
      <c r="P261" s="2" t="str">
        <f t="shared" si="27"/>
        <v>Normal</v>
      </c>
    </row>
    <row r="262" spans="1:16" x14ac:dyDescent="0.35">
      <c r="A262">
        <v>1033</v>
      </c>
      <c r="B262">
        <v>19627</v>
      </c>
      <c r="C262">
        <v>10330</v>
      </c>
      <c r="D262">
        <v>9297</v>
      </c>
      <c r="E262" s="1">
        <v>41609</v>
      </c>
      <c r="F262">
        <v>12</v>
      </c>
      <c r="G262" s="2" t="s">
        <v>12</v>
      </c>
      <c r="H262">
        <v>2013</v>
      </c>
      <c r="I262">
        <v>11363</v>
      </c>
      <c r="J262">
        <v>0</v>
      </c>
      <c r="K262">
        <f t="shared" si="22"/>
        <v>-0.63402033077253106</v>
      </c>
      <c r="L262" t="str">
        <f t="shared" si="23"/>
        <v>Normal</v>
      </c>
      <c r="M262">
        <f t="shared" si="24"/>
        <v>0</v>
      </c>
      <c r="N262" s="2" t="str">
        <f t="shared" si="25"/>
        <v>Normal</v>
      </c>
      <c r="O262" s="2">
        <f t="shared" si="26"/>
        <v>0</v>
      </c>
      <c r="P262" s="2" t="str">
        <f t="shared" si="27"/>
        <v>Normal</v>
      </c>
    </row>
    <row r="263" spans="1:16" x14ac:dyDescent="0.35">
      <c r="A263">
        <v>18750</v>
      </c>
      <c r="B263">
        <v>356250</v>
      </c>
      <c r="C263">
        <v>312500</v>
      </c>
      <c r="D263">
        <v>43750</v>
      </c>
      <c r="E263" s="1">
        <v>41974</v>
      </c>
      <c r="F263">
        <v>12</v>
      </c>
      <c r="G263" s="2" t="s">
        <v>12</v>
      </c>
      <c r="H263">
        <v>2014</v>
      </c>
      <c r="I263">
        <v>331250</v>
      </c>
      <c r="J263">
        <v>0</v>
      </c>
      <c r="K263">
        <f t="shared" si="22"/>
        <v>0.78898858785504777</v>
      </c>
      <c r="L263" t="str">
        <f t="shared" si="23"/>
        <v>Normal</v>
      </c>
      <c r="M263">
        <f t="shared" si="24"/>
        <v>0</v>
      </c>
      <c r="N263" s="2" t="str">
        <f t="shared" si="25"/>
        <v>Normal</v>
      </c>
      <c r="O263" s="2">
        <f t="shared" si="26"/>
        <v>0</v>
      </c>
      <c r="P263" s="2" t="str">
        <f t="shared" si="27"/>
        <v>Normal</v>
      </c>
    </row>
    <row r="264" spans="1:16" x14ac:dyDescent="0.35">
      <c r="A264">
        <v>1389</v>
      </c>
      <c r="B264">
        <v>26391</v>
      </c>
      <c r="C264">
        <v>13890</v>
      </c>
      <c r="D264">
        <v>12501</v>
      </c>
      <c r="E264" s="1">
        <v>41548</v>
      </c>
      <c r="F264">
        <v>10</v>
      </c>
      <c r="G264" s="2" t="s">
        <v>17</v>
      </c>
      <c r="H264">
        <v>2013</v>
      </c>
      <c r="I264">
        <v>15279</v>
      </c>
      <c r="J264">
        <v>0</v>
      </c>
      <c r="K264">
        <f t="shared" si="22"/>
        <v>-0.6054268231227361</v>
      </c>
      <c r="L264" t="str">
        <f t="shared" si="23"/>
        <v>Normal</v>
      </c>
      <c r="M264">
        <f t="shared" si="24"/>
        <v>0</v>
      </c>
      <c r="N264" s="2" t="str">
        <f t="shared" si="25"/>
        <v>Normal</v>
      </c>
      <c r="O264" s="2">
        <f t="shared" si="26"/>
        <v>0</v>
      </c>
      <c r="P264" s="2" t="str">
        <f t="shared" si="27"/>
        <v>Normal</v>
      </c>
    </row>
    <row r="265" spans="1:16" x14ac:dyDescent="0.35">
      <c r="A265">
        <v>1265</v>
      </c>
      <c r="B265">
        <v>24035</v>
      </c>
      <c r="C265">
        <v>12650</v>
      </c>
      <c r="D265">
        <v>11385</v>
      </c>
      <c r="E265" s="1">
        <v>41579</v>
      </c>
      <c r="F265">
        <v>11</v>
      </c>
      <c r="G265" s="2" t="s">
        <v>19</v>
      </c>
      <c r="H265">
        <v>2013</v>
      </c>
      <c r="I265">
        <v>13915</v>
      </c>
      <c r="J265">
        <v>0</v>
      </c>
      <c r="K265">
        <f t="shared" si="22"/>
        <v>-0.61538635949513665</v>
      </c>
      <c r="L265" t="str">
        <f t="shared" si="23"/>
        <v>Normal</v>
      </c>
      <c r="M265">
        <f t="shared" si="24"/>
        <v>0</v>
      </c>
      <c r="N265" s="2" t="str">
        <f t="shared" si="25"/>
        <v>Normal</v>
      </c>
      <c r="O265" s="2">
        <f t="shared" si="26"/>
        <v>0</v>
      </c>
      <c r="P265" s="2" t="str">
        <f t="shared" si="27"/>
        <v>Normal</v>
      </c>
    </row>
    <row r="266" spans="1:16" x14ac:dyDescent="0.35">
      <c r="A266">
        <v>2297</v>
      </c>
      <c r="B266">
        <v>43643</v>
      </c>
      <c r="C266">
        <v>22970</v>
      </c>
      <c r="D266">
        <v>20673</v>
      </c>
      <c r="E266" s="1">
        <v>41579</v>
      </c>
      <c r="F266">
        <v>11</v>
      </c>
      <c r="G266" s="2" t="s">
        <v>19</v>
      </c>
      <c r="H266">
        <v>2013</v>
      </c>
      <c r="I266">
        <v>25267</v>
      </c>
      <c r="J266">
        <v>0</v>
      </c>
      <c r="K266">
        <f t="shared" si="22"/>
        <v>-0.53249731484741625</v>
      </c>
      <c r="L266" t="str">
        <f t="shared" si="23"/>
        <v>Normal</v>
      </c>
      <c r="M266">
        <f t="shared" si="24"/>
        <v>0</v>
      </c>
      <c r="N266" s="2" t="str">
        <f t="shared" si="25"/>
        <v>Normal</v>
      </c>
      <c r="O266" s="2">
        <f t="shared" si="26"/>
        <v>0</v>
      </c>
      <c r="P266" s="2" t="str">
        <f t="shared" si="27"/>
        <v>Normal</v>
      </c>
    </row>
    <row r="267" spans="1:16" x14ac:dyDescent="0.35">
      <c r="A267">
        <v>2663</v>
      </c>
      <c r="B267">
        <v>50597</v>
      </c>
      <c r="C267">
        <v>26630</v>
      </c>
      <c r="D267">
        <v>23967</v>
      </c>
      <c r="E267" s="1">
        <v>41974</v>
      </c>
      <c r="F267">
        <v>12</v>
      </c>
      <c r="G267" s="2" t="s">
        <v>12</v>
      </c>
      <c r="H267">
        <v>2014</v>
      </c>
      <c r="I267">
        <v>29293</v>
      </c>
      <c r="J267">
        <v>0</v>
      </c>
      <c r="K267">
        <f t="shared" si="22"/>
        <v>-0.50310061878049217</v>
      </c>
      <c r="L267" t="str">
        <f t="shared" si="23"/>
        <v>Normal</v>
      </c>
      <c r="M267">
        <f t="shared" si="24"/>
        <v>0</v>
      </c>
      <c r="N267" s="2" t="str">
        <f t="shared" si="25"/>
        <v>Normal</v>
      </c>
      <c r="O267" s="2">
        <f t="shared" si="26"/>
        <v>0</v>
      </c>
      <c r="P267" s="2" t="str">
        <f t="shared" si="27"/>
        <v>Normal</v>
      </c>
    </row>
    <row r="268" spans="1:16" x14ac:dyDescent="0.35">
      <c r="A268">
        <v>199.5</v>
      </c>
      <c r="B268">
        <v>3790.5</v>
      </c>
      <c r="C268">
        <v>2850</v>
      </c>
      <c r="D268">
        <v>940.5</v>
      </c>
      <c r="E268" s="1">
        <v>41974</v>
      </c>
      <c r="F268">
        <v>12</v>
      </c>
      <c r="G268" s="2" t="s">
        <v>12</v>
      </c>
      <c r="H268">
        <v>2014</v>
      </c>
      <c r="I268">
        <v>3049.5</v>
      </c>
      <c r="J268">
        <v>0</v>
      </c>
      <c r="K268">
        <f t="shared" si="22"/>
        <v>-0.7009660853402393</v>
      </c>
      <c r="L268" t="str">
        <f t="shared" si="23"/>
        <v>Normal</v>
      </c>
      <c r="M268">
        <f t="shared" si="24"/>
        <v>0</v>
      </c>
      <c r="N268" s="2" t="str">
        <f t="shared" si="25"/>
        <v>Normal</v>
      </c>
      <c r="O268" s="2">
        <f t="shared" si="26"/>
        <v>0</v>
      </c>
      <c r="P268" s="2" t="str">
        <f t="shared" si="27"/>
        <v>Normal</v>
      </c>
    </row>
    <row r="269" spans="1:16" x14ac:dyDescent="0.35">
      <c r="A269">
        <v>870.45</v>
      </c>
      <c r="B269">
        <v>16538.55</v>
      </c>
      <c r="C269">
        <v>12435</v>
      </c>
      <c r="D269">
        <v>4103.5499999999993</v>
      </c>
      <c r="E269" s="1">
        <v>41974</v>
      </c>
      <c r="F269">
        <v>12</v>
      </c>
      <c r="G269" s="2" t="s">
        <v>12</v>
      </c>
      <c r="H269">
        <v>2014</v>
      </c>
      <c r="I269">
        <v>13305.45</v>
      </c>
      <c r="J269">
        <v>0</v>
      </c>
      <c r="K269">
        <f t="shared" si="22"/>
        <v>-0.64707615849296418</v>
      </c>
      <c r="L269" t="str">
        <f t="shared" si="23"/>
        <v>Normal</v>
      </c>
      <c r="M269">
        <f t="shared" si="24"/>
        <v>0</v>
      </c>
      <c r="N269" s="2" t="str">
        <f t="shared" si="25"/>
        <v>Normal</v>
      </c>
      <c r="O269" s="2">
        <f t="shared" si="26"/>
        <v>0</v>
      </c>
      <c r="P269" s="2" t="str">
        <f t="shared" si="27"/>
        <v>Normal</v>
      </c>
    </row>
    <row r="270" spans="1:16" x14ac:dyDescent="0.35">
      <c r="A270">
        <v>23625</v>
      </c>
      <c r="B270">
        <v>448875</v>
      </c>
      <c r="C270">
        <v>351000</v>
      </c>
      <c r="D270">
        <v>97875</v>
      </c>
      <c r="E270" s="1">
        <v>41671</v>
      </c>
      <c r="F270">
        <v>2</v>
      </c>
      <c r="G270" s="2" t="s">
        <v>18</v>
      </c>
      <c r="H270">
        <v>2014</v>
      </c>
      <c r="I270">
        <v>374625</v>
      </c>
      <c r="J270">
        <v>0</v>
      </c>
      <c r="K270">
        <f t="shared" si="22"/>
        <v>1.1805429412054709</v>
      </c>
      <c r="L270" t="str">
        <f t="shared" si="23"/>
        <v>Normal</v>
      </c>
      <c r="M270">
        <f t="shared" si="24"/>
        <v>0</v>
      </c>
      <c r="N270" s="2" t="str">
        <f t="shared" si="25"/>
        <v>Normal</v>
      </c>
      <c r="O270" s="2">
        <f t="shared" si="26"/>
        <v>0</v>
      </c>
      <c r="P270" s="2" t="str">
        <f t="shared" si="27"/>
        <v>Normal</v>
      </c>
    </row>
    <row r="271" spans="1:16" x14ac:dyDescent="0.35">
      <c r="A271">
        <v>9660</v>
      </c>
      <c r="B271">
        <v>183540</v>
      </c>
      <c r="C271">
        <v>143520</v>
      </c>
      <c r="D271">
        <v>40020</v>
      </c>
      <c r="E271" s="1">
        <v>41852</v>
      </c>
      <c r="F271">
        <v>8</v>
      </c>
      <c r="G271" s="2" t="s">
        <v>15</v>
      </c>
      <c r="H271">
        <v>2014</v>
      </c>
      <c r="I271">
        <v>153180</v>
      </c>
      <c r="J271">
        <v>0</v>
      </c>
      <c r="K271">
        <f t="shared" si="22"/>
        <v>5.8890316684720299E-2</v>
      </c>
      <c r="L271" t="str">
        <f t="shared" si="23"/>
        <v>Normal</v>
      </c>
      <c r="M271">
        <f t="shared" si="24"/>
        <v>0</v>
      </c>
      <c r="N271" s="2" t="str">
        <f t="shared" si="25"/>
        <v>Normal</v>
      </c>
      <c r="O271" s="2">
        <f t="shared" si="26"/>
        <v>0</v>
      </c>
      <c r="P271" s="2" t="str">
        <f t="shared" si="27"/>
        <v>Normal</v>
      </c>
    </row>
    <row r="272" spans="1:16" x14ac:dyDescent="0.35">
      <c r="A272">
        <v>21490</v>
      </c>
      <c r="B272">
        <v>408310</v>
      </c>
      <c r="C272">
        <v>319280</v>
      </c>
      <c r="D272">
        <v>89030</v>
      </c>
      <c r="E272" s="1">
        <v>41548</v>
      </c>
      <c r="F272">
        <v>10</v>
      </c>
      <c r="G272" s="2" t="s">
        <v>17</v>
      </c>
      <c r="H272">
        <v>2013</v>
      </c>
      <c r="I272">
        <v>340770</v>
      </c>
      <c r="J272">
        <v>0</v>
      </c>
      <c r="K272">
        <f t="shared" si="22"/>
        <v>1.0090622141484138</v>
      </c>
      <c r="L272" t="str">
        <f t="shared" si="23"/>
        <v>Normal</v>
      </c>
      <c r="M272">
        <f t="shared" si="24"/>
        <v>0</v>
      </c>
      <c r="N272" s="2" t="str">
        <f t="shared" si="25"/>
        <v>Normal</v>
      </c>
      <c r="O272" s="2">
        <f t="shared" si="26"/>
        <v>0</v>
      </c>
      <c r="P272" s="2" t="str">
        <f t="shared" si="27"/>
        <v>Normal</v>
      </c>
    </row>
    <row r="273" spans="1:16" x14ac:dyDescent="0.35">
      <c r="A273">
        <v>18750</v>
      </c>
      <c r="B273">
        <v>356250</v>
      </c>
      <c r="C273">
        <v>312500</v>
      </c>
      <c r="D273">
        <v>43750</v>
      </c>
      <c r="E273" s="1">
        <v>41974</v>
      </c>
      <c r="F273">
        <v>12</v>
      </c>
      <c r="G273" s="2" t="s">
        <v>12</v>
      </c>
      <c r="H273">
        <v>2014</v>
      </c>
      <c r="I273">
        <v>331250</v>
      </c>
      <c r="J273">
        <v>0</v>
      </c>
      <c r="K273">
        <f t="shared" si="22"/>
        <v>0.78898858785504777</v>
      </c>
      <c r="L273" t="str">
        <f t="shared" si="23"/>
        <v>Normal</v>
      </c>
      <c r="M273">
        <f t="shared" si="24"/>
        <v>0</v>
      </c>
      <c r="N273" s="2" t="str">
        <f t="shared" si="25"/>
        <v>Normal</v>
      </c>
      <c r="O273" s="2">
        <f t="shared" si="26"/>
        <v>0</v>
      </c>
      <c r="P273" s="2" t="str">
        <f t="shared" si="27"/>
        <v>Normal</v>
      </c>
    </row>
    <row r="274" spans="1:16" x14ac:dyDescent="0.35">
      <c r="A274">
        <v>3420.8999999999996</v>
      </c>
      <c r="B274">
        <v>53594.100000000006</v>
      </c>
      <c r="C274">
        <v>38010</v>
      </c>
      <c r="D274">
        <v>15584.100000000002</v>
      </c>
      <c r="E274" s="1">
        <v>41730</v>
      </c>
      <c r="F274">
        <v>4</v>
      </c>
      <c r="G274" s="2" t="s">
        <v>20</v>
      </c>
      <c r="H274">
        <v>2014</v>
      </c>
      <c r="I274">
        <v>41430.9</v>
      </c>
      <c r="J274">
        <v>0</v>
      </c>
      <c r="K274">
        <f t="shared" si="22"/>
        <v>-0.49043095559639982</v>
      </c>
      <c r="L274" t="str">
        <f t="shared" si="23"/>
        <v>Normal</v>
      </c>
      <c r="M274">
        <f t="shared" si="24"/>
        <v>0</v>
      </c>
      <c r="N274" s="2" t="str">
        <f t="shared" si="25"/>
        <v>Normal</v>
      </c>
      <c r="O274" s="2">
        <f t="shared" si="26"/>
        <v>0</v>
      </c>
      <c r="P274" s="2" t="str">
        <f t="shared" si="27"/>
        <v>Normal</v>
      </c>
    </row>
    <row r="275" spans="1:16" x14ac:dyDescent="0.35">
      <c r="A275">
        <v>1341</v>
      </c>
      <c r="B275">
        <v>21009</v>
      </c>
      <c r="C275">
        <v>11175</v>
      </c>
      <c r="D275">
        <v>9834</v>
      </c>
      <c r="E275" s="1">
        <v>41640</v>
      </c>
      <c r="F275">
        <v>1</v>
      </c>
      <c r="G275" s="2" t="s">
        <v>10</v>
      </c>
      <c r="H275">
        <v>2014</v>
      </c>
      <c r="I275">
        <v>12516</v>
      </c>
      <c r="J275">
        <v>0</v>
      </c>
      <c r="K275">
        <f t="shared" si="22"/>
        <v>-0.62817819186478174</v>
      </c>
      <c r="L275" t="str">
        <f t="shared" si="23"/>
        <v>Normal</v>
      </c>
      <c r="M275">
        <f t="shared" si="24"/>
        <v>0</v>
      </c>
      <c r="N275" s="2" t="str">
        <f t="shared" si="25"/>
        <v>Normal</v>
      </c>
      <c r="O275" s="2">
        <f t="shared" si="26"/>
        <v>0</v>
      </c>
      <c r="P275" s="2" t="str">
        <f t="shared" si="27"/>
        <v>Normal</v>
      </c>
    </row>
    <row r="276" spans="1:16" x14ac:dyDescent="0.35">
      <c r="A276">
        <v>2559.6</v>
      </c>
      <c r="B276">
        <v>40100.400000000001</v>
      </c>
      <c r="C276">
        <v>28440</v>
      </c>
      <c r="D276">
        <v>11660.400000000001</v>
      </c>
      <c r="E276" s="1">
        <v>41791</v>
      </c>
      <c r="F276">
        <v>6</v>
      </c>
      <c r="G276" s="2" t="s">
        <v>11</v>
      </c>
      <c r="H276">
        <v>2014</v>
      </c>
      <c r="I276">
        <v>30999.599999999999</v>
      </c>
      <c r="J276">
        <v>0</v>
      </c>
      <c r="K276">
        <f t="shared" si="22"/>
        <v>-0.54747297425016073</v>
      </c>
      <c r="L276" t="str">
        <f t="shared" si="23"/>
        <v>Normal</v>
      </c>
      <c r="M276">
        <f t="shared" si="24"/>
        <v>0</v>
      </c>
      <c r="N276" s="2" t="str">
        <f t="shared" si="25"/>
        <v>Normal</v>
      </c>
      <c r="O276" s="2">
        <f t="shared" si="26"/>
        <v>0</v>
      </c>
      <c r="P276" s="2" t="str">
        <f t="shared" si="27"/>
        <v>Normal</v>
      </c>
    </row>
    <row r="277" spans="1:16" x14ac:dyDescent="0.35">
      <c r="A277">
        <v>404.64</v>
      </c>
      <c r="B277">
        <v>6339.36</v>
      </c>
      <c r="C277">
        <v>1686</v>
      </c>
      <c r="D277">
        <v>4653.3599999999997</v>
      </c>
      <c r="E277" s="1">
        <v>41883</v>
      </c>
      <c r="F277">
        <v>9</v>
      </c>
      <c r="G277" s="2" t="s">
        <v>16</v>
      </c>
      <c r="H277">
        <v>2014</v>
      </c>
      <c r="I277">
        <v>2090.64</v>
      </c>
      <c r="J277">
        <v>0</v>
      </c>
      <c r="K277">
        <f t="shared" si="22"/>
        <v>-0.69019127045137829</v>
      </c>
      <c r="L277" t="str">
        <f t="shared" si="23"/>
        <v>Normal</v>
      </c>
      <c r="M277">
        <f t="shared" si="24"/>
        <v>0</v>
      </c>
      <c r="N277" s="2" t="str">
        <f t="shared" si="25"/>
        <v>Normal</v>
      </c>
      <c r="O277" s="2">
        <f t="shared" si="26"/>
        <v>0</v>
      </c>
      <c r="P277" s="2" t="str">
        <f t="shared" si="27"/>
        <v>Normal</v>
      </c>
    </row>
    <row r="278" spans="1:16" x14ac:dyDescent="0.35">
      <c r="A278">
        <v>1655.28</v>
      </c>
      <c r="B278">
        <v>25932.720000000001</v>
      </c>
      <c r="C278">
        <v>6897</v>
      </c>
      <c r="D278">
        <v>19035.72</v>
      </c>
      <c r="E278" s="1">
        <v>41548</v>
      </c>
      <c r="F278">
        <v>10</v>
      </c>
      <c r="G278" s="2" t="s">
        <v>17</v>
      </c>
      <c r="H278">
        <v>2013</v>
      </c>
      <c r="I278">
        <v>8552.2800000000007</v>
      </c>
      <c r="J278">
        <v>0</v>
      </c>
      <c r="K278">
        <f t="shared" si="22"/>
        <v>-0.60736411358485143</v>
      </c>
      <c r="L278" t="str">
        <f t="shared" si="23"/>
        <v>Normal</v>
      </c>
      <c r="M278">
        <f t="shared" si="24"/>
        <v>0</v>
      </c>
      <c r="N278" s="2" t="str">
        <f t="shared" si="25"/>
        <v>Normal</v>
      </c>
      <c r="O278" s="2">
        <f t="shared" si="26"/>
        <v>0</v>
      </c>
      <c r="P278" s="2" t="str">
        <f t="shared" si="27"/>
        <v>Normal</v>
      </c>
    </row>
    <row r="279" spans="1:16" x14ac:dyDescent="0.35">
      <c r="A279">
        <v>1827</v>
      </c>
      <c r="B279">
        <v>28623</v>
      </c>
      <c r="C279">
        <v>20300</v>
      </c>
      <c r="D279">
        <v>8323</v>
      </c>
      <c r="E279" s="1">
        <v>41944</v>
      </c>
      <c r="F279">
        <v>11</v>
      </c>
      <c r="G279" s="2" t="s">
        <v>19</v>
      </c>
      <c r="H279">
        <v>2014</v>
      </c>
      <c r="I279">
        <v>22127</v>
      </c>
      <c r="J279">
        <v>0</v>
      </c>
      <c r="K279">
        <f t="shared" si="22"/>
        <v>-0.59599147287519882</v>
      </c>
      <c r="L279" t="str">
        <f t="shared" si="23"/>
        <v>Normal</v>
      </c>
      <c r="M279">
        <f t="shared" si="24"/>
        <v>0</v>
      </c>
      <c r="N279" s="2" t="str">
        <f t="shared" si="25"/>
        <v>Normal</v>
      </c>
      <c r="O279" s="2">
        <f t="shared" si="26"/>
        <v>0</v>
      </c>
      <c r="P279" s="2" t="str">
        <f t="shared" si="27"/>
        <v>Normal</v>
      </c>
    </row>
    <row r="280" spans="1:16" x14ac:dyDescent="0.35">
      <c r="A280">
        <v>110.46</v>
      </c>
      <c r="B280">
        <v>1730.54</v>
      </c>
      <c r="C280">
        <v>1315</v>
      </c>
      <c r="D280">
        <v>415.53999999999996</v>
      </c>
      <c r="E280" s="1">
        <v>41579</v>
      </c>
      <c r="F280">
        <v>11</v>
      </c>
      <c r="G280" s="2" t="s">
        <v>19</v>
      </c>
      <c r="H280">
        <v>2013</v>
      </c>
      <c r="I280">
        <v>1425.46</v>
      </c>
      <c r="J280">
        <v>0</v>
      </c>
      <c r="K280">
        <f t="shared" si="22"/>
        <v>-0.70967416961260354</v>
      </c>
      <c r="L280" t="str">
        <f t="shared" si="23"/>
        <v>Normal</v>
      </c>
      <c r="M280">
        <f t="shared" si="24"/>
        <v>0</v>
      </c>
      <c r="N280" s="2" t="str">
        <f t="shared" si="25"/>
        <v>Normal</v>
      </c>
      <c r="O280" s="2">
        <f t="shared" si="26"/>
        <v>0</v>
      </c>
      <c r="P280" s="2" t="str">
        <f t="shared" si="27"/>
        <v>Normal</v>
      </c>
    </row>
    <row r="281" spans="1:16" x14ac:dyDescent="0.35">
      <c r="A281">
        <v>6652.5</v>
      </c>
      <c r="B281">
        <v>104222.5</v>
      </c>
      <c r="C281">
        <v>106440</v>
      </c>
      <c r="D281">
        <v>-2217.5</v>
      </c>
      <c r="E281" s="1">
        <v>41609</v>
      </c>
      <c r="F281">
        <v>12</v>
      </c>
      <c r="G281" s="2" t="s">
        <v>12</v>
      </c>
      <c r="H281">
        <v>2013</v>
      </c>
      <c r="I281">
        <v>113092.5</v>
      </c>
      <c r="J281">
        <v>0</v>
      </c>
      <c r="K281">
        <f t="shared" si="22"/>
        <v>-0.27640914266072841</v>
      </c>
      <c r="L281" t="str">
        <f t="shared" si="23"/>
        <v>Normal</v>
      </c>
      <c r="M281">
        <f t="shared" si="24"/>
        <v>0</v>
      </c>
      <c r="N281" s="2" t="str">
        <f t="shared" si="25"/>
        <v>Normal</v>
      </c>
      <c r="O281" s="2">
        <f t="shared" si="26"/>
        <v>0</v>
      </c>
      <c r="P281" s="2" t="str">
        <f t="shared" si="27"/>
        <v>Normal</v>
      </c>
    </row>
    <row r="282" spans="1:16" x14ac:dyDescent="0.35">
      <c r="A282">
        <v>20580</v>
      </c>
      <c r="B282">
        <v>322420</v>
      </c>
      <c r="C282">
        <v>254800</v>
      </c>
      <c r="D282">
        <v>67620</v>
      </c>
      <c r="E282" s="1">
        <v>41730</v>
      </c>
      <c r="F282">
        <v>4</v>
      </c>
      <c r="G282" s="2" t="s">
        <v>20</v>
      </c>
      <c r="H282">
        <v>2014</v>
      </c>
      <c r="I282">
        <v>275380</v>
      </c>
      <c r="J282">
        <v>0</v>
      </c>
      <c r="K282">
        <f t="shared" si="22"/>
        <v>0.64597877653148705</v>
      </c>
      <c r="L282" t="str">
        <f t="shared" si="23"/>
        <v>Normal</v>
      </c>
      <c r="M282">
        <f t="shared" si="24"/>
        <v>0</v>
      </c>
      <c r="N282" s="2" t="str">
        <f t="shared" si="25"/>
        <v>Normal</v>
      </c>
      <c r="O282" s="2">
        <f t="shared" si="26"/>
        <v>0</v>
      </c>
      <c r="P282" s="2" t="str">
        <f t="shared" si="27"/>
        <v>Normal</v>
      </c>
    </row>
    <row r="283" spans="1:16" x14ac:dyDescent="0.35">
      <c r="A283">
        <v>30660</v>
      </c>
      <c r="B283">
        <v>480340</v>
      </c>
      <c r="C283">
        <v>379600</v>
      </c>
      <c r="D283">
        <v>100740</v>
      </c>
      <c r="E283" s="1">
        <v>41760</v>
      </c>
      <c r="F283">
        <v>5</v>
      </c>
      <c r="G283" s="2" t="s">
        <v>21</v>
      </c>
      <c r="H283">
        <v>2014</v>
      </c>
      <c r="I283">
        <v>410260</v>
      </c>
      <c r="J283">
        <v>0</v>
      </c>
      <c r="K283">
        <f t="shared" si="22"/>
        <v>1.3135551703895039</v>
      </c>
      <c r="L283" t="str">
        <f t="shared" si="23"/>
        <v>Normal</v>
      </c>
      <c r="M283">
        <f t="shared" si="24"/>
        <v>0</v>
      </c>
      <c r="N283" s="2" t="str">
        <f t="shared" si="25"/>
        <v>Normal</v>
      </c>
      <c r="O283" s="2">
        <f t="shared" si="26"/>
        <v>0</v>
      </c>
      <c r="P283" s="2" t="str">
        <f t="shared" si="27"/>
        <v>Normal</v>
      </c>
    </row>
    <row r="284" spans="1:16" x14ac:dyDescent="0.35">
      <c r="A284">
        <v>589.26</v>
      </c>
      <c r="B284">
        <v>9231.74</v>
      </c>
      <c r="C284">
        <v>7015</v>
      </c>
      <c r="D284">
        <v>2216.7399999999998</v>
      </c>
      <c r="E284" s="1">
        <v>41548</v>
      </c>
      <c r="F284">
        <v>10</v>
      </c>
      <c r="G284" s="2" t="s">
        <v>17</v>
      </c>
      <c r="H284">
        <v>2013</v>
      </c>
      <c r="I284">
        <v>7604.26</v>
      </c>
      <c r="J284">
        <v>0</v>
      </c>
      <c r="K284">
        <f t="shared" si="22"/>
        <v>-0.67796429090434784</v>
      </c>
      <c r="L284" t="str">
        <f t="shared" si="23"/>
        <v>Normal</v>
      </c>
      <c r="M284">
        <f t="shared" si="24"/>
        <v>0</v>
      </c>
      <c r="N284" s="2" t="str">
        <f t="shared" si="25"/>
        <v>Normal</v>
      </c>
      <c r="O284" s="2">
        <f t="shared" si="26"/>
        <v>0</v>
      </c>
      <c r="P284" s="2" t="str">
        <f t="shared" si="27"/>
        <v>Normal</v>
      </c>
    </row>
    <row r="285" spans="1:16" x14ac:dyDescent="0.35">
      <c r="A285">
        <v>1960.56</v>
      </c>
      <c r="B285">
        <v>30715.439999999999</v>
      </c>
      <c r="C285">
        <v>8169</v>
      </c>
      <c r="D285">
        <v>22546.44</v>
      </c>
      <c r="E285" s="1">
        <v>41944</v>
      </c>
      <c r="F285">
        <v>11</v>
      </c>
      <c r="G285" s="2" t="s">
        <v>19</v>
      </c>
      <c r="H285">
        <v>2014</v>
      </c>
      <c r="I285">
        <v>10129.56</v>
      </c>
      <c r="J285">
        <v>0</v>
      </c>
      <c r="K285">
        <f t="shared" si="22"/>
        <v>-0.58714608565658</v>
      </c>
      <c r="L285" t="str">
        <f t="shared" si="23"/>
        <v>Normal</v>
      </c>
      <c r="M285">
        <f t="shared" si="24"/>
        <v>0</v>
      </c>
      <c r="N285" s="2" t="str">
        <f t="shared" si="25"/>
        <v>Normal</v>
      </c>
      <c r="O285" s="2">
        <f t="shared" si="26"/>
        <v>0</v>
      </c>
      <c r="P285" s="2" t="str">
        <f t="shared" si="27"/>
        <v>Normal</v>
      </c>
    </row>
    <row r="286" spans="1:16" x14ac:dyDescent="0.35">
      <c r="A286">
        <v>31416</v>
      </c>
      <c r="B286">
        <v>492184</v>
      </c>
      <c r="C286">
        <v>388960</v>
      </c>
      <c r="D286">
        <v>103224</v>
      </c>
      <c r="E286" s="1">
        <v>41791</v>
      </c>
      <c r="F286">
        <v>6</v>
      </c>
      <c r="G286" s="2" t="s">
        <v>11</v>
      </c>
      <c r="H286">
        <v>2014</v>
      </c>
      <c r="I286">
        <v>420376</v>
      </c>
      <c r="J286">
        <v>0</v>
      </c>
      <c r="K286">
        <f t="shared" si="22"/>
        <v>1.3636233999288552</v>
      </c>
      <c r="L286" t="str">
        <f t="shared" si="23"/>
        <v>Normal</v>
      </c>
      <c r="M286">
        <f t="shared" si="24"/>
        <v>0</v>
      </c>
      <c r="N286" s="2" t="str">
        <f t="shared" si="25"/>
        <v>Normal</v>
      </c>
      <c r="O286" s="2">
        <f t="shared" si="26"/>
        <v>0</v>
      </c>
      <c r="P286" s="2" t="str">
        <f t="shared" si="27"/>
        <v>Normal</v>
      </c>
    </row>
    <row r="287" spans="1:16" x14ac:dyDescent="0.35">
      <c r="A287">
        <v>1655.28</v>
      </c>
      <c r="B287">
        <v>25932.720000000001</v>
      </c>
      <c r="C287">
        <v>6897</v>
      </c>
      <c r="D287">
        <v>19035.72</v>
      </c>
      <c r="E287" s="1">
        <v>41548</v>
      </c>
      <c r="F287">
        <v>10</v>
      </c>
      <c r="G287" s="2" t="s">
        <v>17</v>
      </c>
      <c r="H287">
        <v>2013</v>
      </c>
      <c r="I287">
        <v>8552.2800000000007</v>
      </c>
      <c r="J287">
        <v>0</v>
      </c>
      <c r="K287">
        <f t="shared" si="22"/>
        <v>-0.60736411358485143</v>
      </c>
      <c r="L287" t="str">
        <f t="shared" si="23"/>
        <v>Normal</v>
      </c>
      <c r="M287">
        <f t="shared" si="24"/>
        <v>0</v>
      </c>
      <c r="N287" s="2" t="str">
        <f t="shared" si="25"/>
        <v>Normal</v>
      </c>
      <c r="O287" s="2">
        <f t="shared" si="26"/>
        <v>0</v>
      </c>
      <c r="P287" s="2" t="str">
        <f t="shared" si="27"/>
        <v>Normal</v>
      </c>
    </row>
    <row r="288" spans="1:16" x14ac:dyDescent="0.35">
      <c r="A288">
        <v>15267</v>
      </c>
      <c r="B288">
        <v>239183</v>
      </c>
      <c r="C288">
        <v>189020</v>
      </c>
      <c r="D288">
        <v>50163</v>
      </c>
      <c r="E288" s="1">
        <v>41548</v>
      </c>
      <c r="F288">
        <v>10</v>
      </c>
      <c r="G288" s="2" t="s">
        <v>17</v>
      </c>
      <c r="H288">
        <v>2013</v>
      </c>
      <c r="I288">
        <v>204287</v>
      </c>
      <c r="J288">
        <v>0</v>
      </c>
      <c r="K288">
        <f t="shared" si="22"/>
        <v>0.29411038560215724</v>
      </c>
      <c r="L288" t="str">
        <f t="shared" si="23"/>
        <v>Normal</v>
      </c>
      <c r="M288">
        <f t="shared" si="24"/>
        <v>0</v>
      </c>
      <c r="N288" s="2" t="str">
        <f t="shared" si="25"/>
        <v>Normal</v>
      </c>
      <c r="O288" s="2">
        <f t="shared" si="26"/>
        <v>0</v>
      </c>
      <c r="P288" s="2" t="str">
        <f t="shared" si="27"/>
        <v>Normal</v>
      </c>
    </row>
    <row r="289" spans="1:16" x14ac:dyDescent="0.35">
      <c r="A289">
        <v>7140</v>
      </c>
      <c r="B289">
        <v>111860</v>
      </c>
      <c r="C289">
        <v>114240</v>
      </c>
      <c r="D289">
        <v>-2380</v>
      </c>
      <c r="E289" s="1">
        <v>41671</v>
      </c>
      <c r="F289">
        <v>2</v>
      </c>
      <c r="G289" s="2" t="s">
        <v>18</v>
      </c>
      <c r="H289">
        <v>2014</v>
      </c>
      <c r="I289">
        <v>121380</v>
      </c>
      <c r="J289">
        <v>0</v>
      </c>
      <c r="K289">
        <f t="shared" si="22"/>
        <v>-0.24412308194586899</v>
      </c>
      <c r="L289" t="str">
        <f t="shared" si="23"/>
        <v>Normal</v>
      </c>
      <c r="M289">
        <f t="shared" si="24"/>
        <v>0</v>
      </c>
      <c r="N289" s="2" t="str">
        <f t="shared" si="25"/>
        <v>Normal</v>
      </c>
      <c r="O289" s="2">
        <f t="shared" si="26"/>
        <v>0</v>
      </c>
      <c r="P289" s="2" t="str">
        <f t="shared" si="27"/>
        <v>Normal</v>
      </c>
    </row>
    <row r="290" spans="1:16" x14ac:dyDescent="0.35">
      <c r="A290">
        <v>20662.5</v>
      </c>
      <c r="B290">
        <v>323712.5</v>
      </c>
      <c r="C290">
        <v>330600</v>
      </c>
      <c r="D290">
        <v>-6887.5</v>
      </c>
      <c r="E290" s="1">
        <v>41671</v>
      </c>
      <c r="F290">
        <v>2</v>
      </c>
      <c r="G290" s="2" t="s">
        <v>18</v>
      </c>
      <c r="H290">
        <v>2014</v>
      </c>
      <c r="I290">
        <v>351262.5</v>
      </c>
      <c r="J290">
        <v>0</v>
      </c>
      <c r="K290">
        <f t="shared" si="22"/>
        <v>0.65144257142169404</v>
      </c>
      <c r="L290" t="str">
        <f t="shared" si="23"/>
        <v>Normal</v>
      </c>
      <c r="M290">
        <f t="shared" si="24"/>
        <v>0</v>
      </c>
      <c r="N290" s="2" t="str">
        <f t="shared" si="25"/>
        <v>Normal</v>
      </c>
      <c r="O290" s="2">
        <f t="shared" si="26"/>
        <v>0</v>
      </c>
      <c r="P290" s="2" t="str">
        <f t="shared" si="27"/>
        <v>Normal</v>
      </c>
    </row>
    <row r="291" spans="1:16" x14ac:dyDescent="0.35">
      <c r="A291">
        <v>1377</v>
      </c>
      <c r="B291">
        <v>21573</v>
      </c>
      <c r="C291">
        <v>15300</v>
      </c>
      <c r="D291">
        <v>6273</v>
      </c>
      <c r="E291" s="1">
        <v>41760</v>
      </c>
      <c r="F291">
        <v>5</v>
      </c>
      <c r="G291" s="2" t="s">
        <v>21</v>
      </c>
      <c r="H291">
        <v>2014</v>
      </c>
      <c r="I291">
        <v>16677</v>
      </c>
      <c r="J291">
        <v>0</v>
      </c>
      <c r="K291">
        <f t="shared" si="22"/>
        <v>-0.62579399045814599</v>
      </c>
      <c r="L291" t="str">
        <f t="shared" si="23"/>
        <v>Normal</v>
      </c>
      <c r="M291">
        <f t="shared" si="24"/>
        <v>0</v>
      </c>
      <c r="N291" s="2" t="str">
        <f t="shared" si="25"/>
        <v>Normal</v>
      </c>
      <c r="O291" s="2">
        <f t="shared" si="26"/>
        <v>0</v>
      </c>
      <c r="P291" s="2" t="str">
        <f t="shared" si="27"/>
        <v>Normal</v>
      </c>
    </row>
    <row r="292" spans="1:16" x14ac:dyDescent="0.35">
      <c r="A292">
        <v>31416</v>
      </c>
      <c r="B292">
        <v>492184</v>
      </c>
      <c r="C292">
        <v>388960</v>
      </c>
      <c r="D292">
        <v>103224</v>
      </c>
      <c r="E292" s="1">
        <v>41791</v>
      </c>
      <c r="F292">
        <v>6</v>
      </c>
      <c r="G292" s="2" t="s">
        <v>11</v>
      </c>
      <c r="H292">
        <v>2014</v>
      </c>
      <c r="I292">
        <v>420376</v>
      </c>
      <c r="J292">
        <v>0</v>
      </c>
      <c r="K292">
        <f t="shared" si="22"/>
        <v>1.3636233999288552</v>
      </c>
      <c r="L292" t="str">
        <f t="shared" si="23"/>
        <v>Normal</v>
      </c>
      <c r="M292">
        <f t="shared" si="24"/>
        <v>0</v>
      </c>
      <c r="N292" s="2" t="str">
        <f t="shared" si="25"/>
        <v>Normal</v>
      </c>
      <c r="O292" s="2">
        <f t="shared" si="26"/>
        <v>0</v>
      </c>
      <c r="P292" s="2" t="str">
        <f t="shared" si="27"/>
        <v>Normal</v>
      </c>
    </row>
    <row r="293" spans="1:16" x14ac:dyDescent="0.35">
      <c r="A293">
        <v>629.16</v>
      </c>
      <c r="B293">
        <v>9856.84</v>
      </c>
      <c r="C293">
        <v>7490</v>
      </c>
      <c r="D293">
        <v>2366.84</v>
      </c>
      <c r="E293" s="1">
        <v>41791</v>
      </c>
      <c r="F293">
        <v>6</v>
      </c>
      <c r="G293" s="2" t="s">
        <v>11</v>
      </c>
      <c r="H293">
        <v>2014</v>
      </c>
      <c r="I293">
        <v>8119.16</v>
      </c>
      <c r="J293">
        <v>0</v>
      </c>
      <c r="K293">
        <f t="shared" si="22"/>
        <v>-0.67532180101199313</v>
      </c>
      <c r="L293" t="str">
        <f t="shared" si="23"/>
        <v>Normal</v>
      </c>
      <c r="M293">
        <f t="shared" si="24"/>
        <v>0</v>
      </c>
      <c r="N293" s="2" t="str">
        <f t="shared" si="25"/>
        <v>Normal</v>
      </c>
      <c r="O293" s="2">
        <f t="shared" si="26"/>
        <v>0</v>
      </c>
      <c r="P293" s="2" t="str">
        <f t="shared" si="27"/>
        <v>Normal</v>
      </c>
    </row>
    <row r="294" spans="1:16" x14ac:dyDescent="0.35">
      <c r="A294">
        <v>21978</v>
      </c>
      <c r="B294">
        <v>344322</v>
      </c>
      <c r="C294">
        <v>305250</v>
      </c>
      <c r="D294">
        <v>39072</v>
      </c>
      <c r="E294" s="1">
        <v>41548</v>
      </c>
      <c r="F294">
        <v>10</v>
      </c>
      <c r="G294" s="2" t="s">
        <v>17</v>
      </c>
      <c r="H294">
        <v>2013</v>
      </c>
      <c r="I294">
        <v>327228</v>
      </c>
      <c r="J294">
        <v>0</v>
      </c>
      <c r="K294">
        <f t="shared" si="22"/>
        <v>0.73856526448917625</v>
      </c>
      <c r="L294" t="str">
        <f t="shared" si="23"/>
        <v>Normal</v>
      </c>
      <c r="M294">
        <f t="shared" si="24"/>
        <v>0</v>
      </c>
      <c r="N294" s="2" t="str">
        <f t="shared" si="25"/>
        <v>Normal</v>
      </c>
      <c r="O294" s="2">
        <f t="shared" si="26"/>
        <v>0</v>
      </c>
      <c r="P294" s="2" t="str">
        <f t="shared" si="27"/>
        <v>Normal</v>
      </c>
    </row>
    <row r="295" spans="1:16" x14ac:dyDescent="0.35">
      <c r="A295">
        <v>43596</v>
      </c>
      <c r="B295">
        <v>683004</v>
      </c>
      <c r="C295">
        <v>539760</v>
      </c>
      <c r="D295">
        <v>143244</v>
      </c>
      <c r="E295" s="1">
        <v>41548</v>
      </c>
      <c r="F295">
        <v>10</v>
      </c>
      <c r="G295" s="2" t="s">
        <v>17</v>
      </c>
      <c r="H295">
        <v>2013</v>
      </c>
      <c r="I295">
        <v>583356</v>
      </c>
      <c r="J295">
        <v>0</v>
      </c>
      <c r="K295">
        <f t="shared" si="22"/>
        <v>2.1702782091739592</v>
      </c>
      <c r="L295" t="str">
        <f t="shared" si="23"/>
        <v>Normal</v>
      </c>
      <c r="M295">
        <f t="shared" si="24"/>
        <v>0</v>
      </c>
      <c r="N295" s="2" t="str">
        <f t="shared" si="25"/>
        <v>Normal</v>
      </c>
      <c r="O295" s="2">
        <f t="shared" si="26"/>
        <v>0</v>
      </c>
      <c r="P295" s="2" t="str">
        <f t="shared" si="27"/>
        <v>Normal</v>
      </c>
    </row>
    <row r="296" spans="1:16" x14ac:dyDescent="0.35">
      <c r="A296">
        <v>2559.6</v>
      </c>
      <c r="B296">
        <v>40100.400000000001</v>
      </c>
      <c r="C296">
        <v>28440</v>
      </c>
      <c r="D296">
        <v>11660.400000000001</v>
      </c>
      <c r="E296" s="1">
        <v>41791</v>
      </c>
      <c r="F296">
        <v>6</v>
      </c>
      <c r="G296" s="2" t="s">
        <v>11</v>
      </c>
      <c r="H296">
        <v>2014</v>
      </c>
      <c r="I296">
        <v>30999.599999999999</v>
      </c>
      <c r="J296">
        <v>0</v>
      </c>
      <c r="K296">
        <f t="shared" si="22"/>
        <v>-0.54747297425016073</v>
      </c>
      <c r="L296" t="str">
        <f t="shared" si="23"/>
        <v>Normal</v>
      </c>
      <c r="M296">
        <f t="shared" si="24"/>
        <v>0</v>
      </c>
      <c r="N296" s="2" t="str">
        <f t="shared" si="25"/>
        <v>Normal</v>
      </c>
      <c r="O296" s="2">
        <f t="shared" si="26"/>
        <v>0</v>
      </c>
      <c r="P296" s="2" t="str">
        <f t="shared" si="27"/>
        <v>Normal</v>
      </c>
    </row>
    <row r="297" spans="1:16" x14ac:dyDescent="0.35">
      <c r="A297">
        <v>629.16</v>
      </c>
      <c r="B297">
        <v>9856.84</v>
      </c>
      <c r="C297">
        <v>7490</v>
      </c>
      <c r="D297">
        <v>2366.84</v>
      </c>
      <c r="E297" s="1">
        <v>41791</v>
      </c>
      <c r="F297">
        <v>6</v>
      </c>
      <c r="G297" s="2" t="s">
        <v>11</v>
      </c>
      <c r="H297">
        <v>2014</v>
      </c>
      <c r="I297">
        <v>8119.16</v>
      </c>
      <c r="J297">
        <v>0</v>
      </c>
      <c r="K297">
        <f t="shared" si="22"/>
        <v>-0.67532180101199313</v>
      </c>
      <c r="L297" t="str">
        <f t="shared" si="23"/>
        <v>Normal</v>
      </c>
      <c r="M297">
        <f t="shared" si="24"/>
        <v>0</v>
      </c>
      <c r="N297" s="2" t="str">
        <f t="shared" si="25"/>
        <v>Normal</v>
      </c>
      <c r="O297" s="2">
        <f t="shared" si="26"/>
        <v>0</v>
      </c>
      <c r="P297" s="2" t="str">
        <f t="shared" si="27"/>
        <v>Normal</v>
      </c>
    </row>
    <row r="298" spans="1:16" x14ac:dyDescent="0.35">
      <c r="A298">
        <v>21978</v>
      </c>
      <c r="B298">
        <v>344322</v>
      </c>
      <c r="C298">
        <v>305250</v>
      </c>
      <c r="D298">
        <v>39072</v>
      </c>
      <c r="E298" s="1">
        <v>41548</v>
      </c>
      <c r="F298">
        <v>10</v>
      </c>
      <c r="G298" s="2" t="s">
        <v>17</v>
      </c>
      <c r="H298">
        <v>2013</v>
      </c>
      <c r="I298">
        <v>327228</v>
      </c>
      <c r="J298">
        <v>0</v>
      </c>
      <c r="K298">
        <f t="shared" si="22"/>
        <v>0.73856526448917625</v>
      </c>
      <c r="L298" t="str">
        <f t="shared" si="23"/>
        <v>Normal</v>
      </c>
      <c r="M298">
        <f t="shared" si="24"/>
        <v>0</v>
      </c>
      <c r="N298" s="2" t="str">
        <f t="shared" si="25"/>
        <v>Normal</v>
      </c>
      <c r="O298" s="2">
        <f t="shared" si="26"/>
        <v>0</v>
      </c>
      <c r="P298" s="2" t="str">
        <f t="shared" si="27"/>
        <v>Normal</v>
      </c>
    </row>
    <row r="299" spans="1:16" x14ac:dyDescent="0.35">
      <c r="A299">
        <v>1347.6</v>
      </c>
      <c r="B299">
        <v>21112.400000000001</v>
      </c>
      <c r="C299">
        <v>11230</v>
      </c>
      <c r="D299">
        <v>9882.4000000000015</v>
      </c>
      <c r="E299" s="1">
        <v>41579</v>
      </c>
      <c r="F299">
        <v>11</v>
      </c>
      <c r="G299" s="2" t="s">
        <v>19</v>
      </c>
      <c r="H299">
        <v>2013</v>
      </c>
      <c r="I299">
        <v>12577.6</v>
      </c>
      <c r="J299">
        <v>0</v>
      </c>
      <c r="K299">
        <f t="shared" si="22"/>
        <v>-0.62774108827356523</v>
      </c>
      <c r="L299" t="str">
        <f t="shared" si="23"/>
        <v>Normal</v>
      </c>
      <c r="M299">
        <f t="shared" si="24"/>
        <v>0</v>
      </c>
      <c r="N299" s="2" t="str">
        <f t="shared" si="25"/>
        <v>Normal</v>
      </c>
      <c r="O299" s="2">
        <f t="shared" si="26"/>
        <v>0</v>
      </c>
      <c r="P299" s="2" t="str">
        <f t="shared" si="27"/>
        <v>Normal</v>
      </c>
    </row>
    <row r="300" spans="1:16" x14ac:dyDescent="0.35">
      <c r="A300">
        <v>43848</v>
      </c>
      <c r="B300">
        <v>686952</v>
      </c>
      <c r="C300">
        <v>609000</v>
      </c>
      <c r="D300">
        <v>77952</v>
      </c>
      <c r="E300" s="1">
        <v>41609</v>
      </c>
      <c r="F300">
        <v>12</v>
      </c>
      <c r="G300" s="2" t="s">
        <v>12</v>
      </c>
      <c r="H300">
        <v>2013</v>
      </c>
      <c r="I300">
        <v>652848</v>
      </c>
      <c r="J300">
        <v>0</v>
      </c>
      <c r="K300">
        <f t="shared" si="22"/>
        <v>2.1869676190204097</v>
      </c>
      <c r="L300" t="str">
        <f t="shared" si="23"/>
        <v>Normal</v>
      </c>
      <c r="M300">
        <f t="shared" si="24"/>
        <v>0</v>
      </c>
      <c r="N300" s="2" t="str">
        <f t="shared" si="25"/>
        <v>Normal</v>
      </c>
      <c r="O300" s="2">
        <f t="shared" si="26"/>
        <v>0</v>
      </c>
      <c r="P300" s="2" t="str">
        <f t="shared" si="27"/>
        <v>Normal</v>
      </c>
    </row>
    <row r="301" spans="1:16" x14ac:dyDescent="0.35">
      <c r="A301">
        <v>14906.25</v>
      </c>
      <c r="B301">
        <v>233531.25</v>
      </c>
      <c r="C301">
        <v>238500</v>
      </c>
      <c r="D301">
        <v>-4968.75</v>
      </c>
      <c r="E301" s="1">
        <v>41640</v>
      </c>
      <c r="F301">
        <v>1</v>
      </c>
      <c r="G301" s="2" t="s">
        <v>10</v>
      </c>
      <c r="H301">
        <v>2014</v>
      </c>
      <c r="I301">
        <v>253406.25</v>
      </c>
      <c r="J301">
        <v>0</v>
      </c>
      <c r="K301">
        <f t="shared" si="22"/>
        <v>0.27021870067316123</v>
      </c>
      <c r="L301" t="str">
        <f t="shared" si="23"/>
        <v>Normal</v>
      </c>
      <c r="M301">
        <f t="shared" si="24"/>
        <v>0</v>
      </c>
      <c r="N301" s="2" t="str">
        <f t="shared" si="25"/>
        <v>Normal</v>
      </c>
      <c r="O301" s="2">
        <f t="shared" si="26"/>
        <v>0</v>
      </c>
      <c r="P301" s="2" t="str">
        <f t="shared" si="27"/>
        <v>Normal</v>
      </c>
    </row>
    <row r="302" spans="1:16" x14ac:dyDescent="0.35">
      <c r="A302">
        <v>35259</v>
      </c>
      <c r="B302">
        <v>552391</v>
      </c>
      <c r="C302">
        <v>436540</v>
      </c>
      <c r="D302">
        <v>115851</v>
      </c>
      <c r="E302" s="1">
        <v>41883</v>
      </c>
      <c r="F302">
        <v>9</v>
      </c>
      <c r="G302" s="2" t="s">
        <v>16</v>
      </c>
      <c r="H302">
        <v>2014</v>
      </c>
      <c r="I302">
        <v>471799</v>
      </c>
      <c r="J302">
        <v>0</v>
      </c>
      <c r="K302">
        <f t="shared" si="22"/>
        <v>1.6181369000872241</v>
      </c>
      <c r="L302" t="str">
        <f t="shared" si="23"/>
        <v>Normal</v>
      </c>
      <c r="M302">
        <f t="shared" si="24"/>
        <v>0</v>
      </c>
      <c r="N302" s="2" t="str">
        <f t="shared" si="25"/>
        <v>Normal</v>
      </c>
      <c r="O302" s="2">
        <f t="shared" si="26"/>
        <v>0</v>
      </c>
      <c r="P302" s="2" t="str">
        <f t="shared" si="27"/>
        <v>Normal</v>
      </c>
    </row>
    <row r="303" spans="1:16" x14ac:dyDescent="0.35">
      <c r="A303">
        <v>15267</v>
      </c>
      <c r="B303">
        <v>239183</v>
      </c>
      <c r="C303">
        <v>189020</v>
      </c>
      <c r="D303">
        <v>50163</v>
      </c>
      <c r="E303" s="1">
        <v>41548</v>
      </c>
      <c r="F303">
        <v>10</v>
      </c>
      <c r="G303" s="2" t="s">
        <v>17</v>
      </c>
      <c r="H303">
        <v>2013</v>
      </c>
      <c r="I303">
        <v>204287</v>
      </c>
      <c r="J303">
        <v>0</v>
      </c>
      <c r="K303">
        <f t="shared" si="22"/>
        <v>0.29411038560215724</v>
      </c>
      <c r="L303" t="str">
        <f t="shared" si="23"/>
        <v>Normal</v>
      </c>
      <c r="M303">
        <f t="shared" si="24"/>
        <v>0</v>
      </c>
      <c r="N303" s="2" t="str">
        <f t="shared" si="25"/>
        <v>Normal</v>
      </c>
      <c r="O303" s="2">
        <f t="shared" si="26"/>
        <v>0</v>
      </c>
      <c r="P303" s="2" t="str">
        <f t="shared" si="27"/>
        <v>Normal</v>
      </c>
    </row>
    <row r="304" spans="1:16" x14ac:dyDescent="0.35">
      <c r="A304">
        <v>589.26</v>
      </c>
      <c r="B304">
        <v>9231.74</v>
      </c>
      <c r="C304">
        <v>7015</v>
      </c>
      <c r="D304">
        <v>2216.7399999999998</v>
      </c>
      <c r="E304" s="1">
        <v>41548</v>
      </c>
      <c r="F304">
        <v>10</v>
      </c>
      <c r="G304" s="2" t="s">
        <v>17</v>
      </c>
      <c r="H304">
        <v>2013</v>
      </c>
      <c r="I304">
        <v>7604.26</v>
      </c>
      <c r="J304">
        <v>0</v>
      </c>
      <c r="K304">
        <f t="shared" si="22"/>
        <v>-0.67796429090434784</v>
      </c>
      <c r="L304" t="str">
        <f t="shared" si="23"/>
        <v>Normal</v>
      </c>
      <c r="M304">
        <f t="shared" si="24"/>
        <v>0</v>
      </c>
      <c r="N304" s="2" t="str">
        <f t="shared" si="25"/>
        <v>Normal</v>
      </c>
      <c r="O304" s="2">
        <f t="shared" si="26"/>
        <v>0</v>
      </c>
      <c r="P304" s="2" t="str">
        <f t="shared" si="27"/>
        <v>Normal</v>
      </c>
    </row>
    <row r="305" spans="1:16" x14ac:dyDescent="0.35">
      <c r="A305">
        <v>43596</v>
      </c>
      <c r="B305">
        <v>683004</v>
      </c>
      <c r="C305">
        <v>539760</v>
      </c>
      <c r="D305">
        <v>143244</v>
      </c>
      <c r="E305" s="1">
        <v>41548</v>
      </c>
      <c r="F305">
        <v>10</v>
      </c>
      <c r="G305" s="2" t="s">
        <v>17</v>
      </c>
      <c r="H305">
        <v>2013</v>
      </c>
      <c r="I305">
        <v>583356</v>
      </c>
      <c r="J305">
        <v>0</v>
      </c>
      <c r="K305">
        <f t="shared" si="22"/>
        <v>2.1702782091739592</v>
      </c>
      <c r="L305" t="str">
        <f t="shared" si="23"/>
        <v>Normal</v>
      </c>
      <c r="M305">
        <f t="shared" si="24"/>
        <v>0</v>
      </c>
      <c r="N305" s="2" t="str">
        <f t="shared" si="25"/>
        <v>Normal</v>
      </c>
      <c r="O305" s="2">
        <f t="shared" si="26"/>
        <v>0</v>
      </c>
      <c r="P305" s="2" t="str">
        <f t="shared" si="27"/>
        <v>Normal</v>
      </c>
    </row>
    <row r="306" spans="1:16" x14ac:dyDescent="0.35">
      <c r="A306">
        <v>2108.4</v>
      </c>
      <c r="B306">
        <v>33031.599999999999</v>
      </c>
      <c r="C306">
        <v>17570</v>
      </c>
      <c r="D306">
        <v>15461.599999999999</v>
      </c>
      <c r="E306" s="1">
        <v>41548</v>
      </c>
      <c r="F306">
        <v>10</v>
      </c>
      <c r="G306" s="2" t="s">
        <v>17</v>
      </c>
      <c r="H306">
        <v>2013</v>
      </c>
      <c r="I306">
        <v>19678.400000000001</v>
      </c>
      <c r="J306">
        <v>0</v>
      </c>
      <c r="K306">
        <f t="shared" si="22"/>
        <v>-0.57735496521332907</v>
      </c>
      <c r="L306" t="str">
        <f t="shared" si="23"/>
        <v>Normal</v>
      </c>
      <c r="M306">
        <f t="shared" si="24"/>
        <v>0</v>
      </c>
      <c r="N306" s="2" t="str">
        <f t="shared" si="25"/>
        <v>Normal</v>
      </c>
      <c r="O306" s="2">
        <f t="shared" si="26"/>
        <v>0</v>
      </c>
      <c r="P306" s="2" t="str">
        <f t="shared" si="27"/>
        <v>Normal</v>
      </c>
    </row>
    <row r="307" spans="1:16" x14ac:dyDescent="0.35">
      <c r="A307">
        <v>1978.2</v>
      </c>
      <c r="B307">
        <v>30991.8</v>
      </c>
      <c r="C307">
        <v>21980</v>
      </c>
      <c r="D307">
        <v>9011.7999999999993</v>
      </c>
      <c r="E307" s="1">
        <v>41852</v>
      </c>
      <c r="F307">
        <v>8</v>
      </c>
      <c r="G307" s="2" t="s">
        <v>15</v>
      </c>
      <c r="H307">
        <v>2014</v>
      </c>
      <c r="I307">
        <v>23958.2</v>
      </c>
      <c r="J307">
        <v>0</v>
      </c>
      <c r="K307">
        <f t="shared" si="22"/>
        <v>-0.58597782696732859</v>
      </c>
      <c r="L307" t="str">
        <f t="shared" si="23"/>
        <v>Normal</v>
      </c>
      <c r="M307">
        <f t="shared" si="24"/>
        <v>0</v>
      </c>
      <c r="N307" s="2" t="str">
        <f t="shared" si="25"/>
        <v>Normal</v>
      </c>
      <c r="O307" s="2">
        <f t="shared" si="26"/>
        <v>0</v>
      </c>
      <c r="P307" s="2" t="str">
        <f t="shared" si="27"/>
        <v>Normal</v>
      </c>
    </row>
    <row r="308" spans="1:16" x14ac:dyDescent="0.35">
      <c r="A308">
        <v>1568.7</v>
      </c>
      <c r="B308">
        <v>24576.3</v>
      </c>
      <c r="C308">
        <v>17430</v>
      </c>
      <c r="D308">
        <v>7146.2999999999993</v>
      </c>
      <c r="E308" s="1">
        <v>41852</v>
      </c>
      <c r="F308">
        <v>8</v>
      </c>
      <c r="G308" s="2" t="s">
        <v>15</v>
      </c>
      <c r="H308">
        <v>2014</v>
      </c>
      <c r="I308">
        <v>18998.7</v>
      </c>
      <c r="J308">
        <v>0</v>
      </c>
      <c r="K308">
        <f t="shared" si="22"/>
        <v>-0.61309811796781055</v>
      </c>
      <c r="L308" t="str">
        <f t="shared" si="23"/>
        <v>Normal</v>
      </c>
      <c r="M308">
        <f t="shared" si="24"/>
        <v>0</v>
      </c>
      <c r="N308" s="2" t="str">
        <f t="shared" si="25"/>
        <v>Normal</v>
      </c>
      <c r="O308" s="2">
        <f t="shared" si="26"/>
        <v>0</v>
      </c>
      <c r="P308" s="2" t="str">
        <f t="shared" si="27"/>
        <v>Normal</v>
      </c>
    </row>
    <row r="309" spans="1:16" x14ac:dyDescent="0.35">
      <c r="A309">
        <v>1037.7</v>
      </c>
      <c r="B309">
        <v>16257.3</v>
      </c>
      <c r="C309">
        <v>11530</v>
      </c>
      <c r="D309">
        <v>4727.2999999999993</v>
      </c>
      <c r="E309" s="1">
        <v>41913</v>
      </c>
      <c r="F309">
        <v>10</v>
      </c>
      <c r="G309" s="2" t="s">
        <v>17</v>
      </c>
      <c r="H309">
        <v>2014</v>
      </c>
      <c r="I309">
        <v>12567.7</v>
      </c>
      <c r="J309">
        <v>0</v>
      </c>
      <c r="K309">
        <f t="shared" si="22"/>
        <v>-0.64826508871568822</v>
      </c>
      <c r="L309" t="str">
        <f t="shared" si="23"/>
        <v>Normal</v>
      </c>
      <c r="M309">
        <f t="shared" si="24"/>
        <v>0</v>
      </c>
      <c r="N309" s="2" t="str">
        <f t="shared" si="25"/>
        <v>Normal</v>
      </c>
      <c r="O309" s="2">
        <f t="shared" si="26"/>
        <v>0</v>
      </c>
      <c r="P309" s="2" t="str">
        <f t="shared" si="27"/>
        <v>Normal</v>
      </c>
    </row>
    <row r="310" spans="1:16" x14ac:dyDescent="0.35">
      <c r="A310">
        <v>2108.4</v>
      </c>
      <c r="B310">
        <v>33031.599999999999</v>
      </c>
      <c r="C310">
        <v>17570</v>
      </c>
      <c r="D310">
        <v>15461.599999999999</v>
      </c>
      <c r="E310" s="1">
        <v>41548</v>
      </c>
      <c r="F310">
        <v>10</v>
      </c>
      <c r="G310" s="2" t="s">
        <v>17</v>
      </c>
      <c r="H310">
        <v>2013</v>
      </c>
      <c r="I310">
        <v>19678.400000000001</v>
      </c>
      <c r="J310">
        <v>0</v>
      </c>
      <c r="K310">
        <f t="shared" si="22"/>
        <v>-0.57735496521332907</v>
      </c>
      <c r="L310" t="str">
        <f t="shared" si="23"/>
        <v>Normal</v>
      </c>
      <c r="M310">
        <f t="shared" si="24"/>
        <v>0</v>
      </c>
      <c r="N310" s="2" t="str">
        <f t="shared" si="25"/>
        <v>Normal</v>
      </c>
      <c r="O310" s="2">
        <f t="shared" si="26"/>
        <v>0</v>
      </c>
      <c r="P310" s="2" t="str">
        <f t="shared" si="27"/>
        <v>Normal</v>
      </c>
    </row>
    <row r="311" spans="1:16" x14ac:dyDescent="0.35">
      <c r="A311">
        <v>1201.2</v>
      </c>
      <c r="B311">
        <v>18818.8</v>
      </c>
      <c r="C311">
        <v>10010</v>
      </c>
      <c r="D311">
        <v>8808.7999999999993</v>
      </c>
      <c r="E311" s="1">
        <v>41852</v>
      </c>
      <c r="F311">
        <v>8</v>
      </c>
      <c r="G311" s="2" t="s">
        <v>15</v>
      </c>
      <c r="H311">
        <v>2014</v>
      </c>
      <c r="I311">
        <v>11211.2</v>
      </c>
      <c r="J311">
        <v>0</v>
      </c>
      <c r="K311">
        <f t="shared" si="22"/>
        <v>-0.63743684066055073</v>
      </c>
      <c r="L311" t="str">
        <f t="shared" si="23"/>
        <v>Normal</v>
      </c>
      <c r="M311">
        <f t="shared" si="24"/>
        <v>0</v>
      </c>
      <c r="N311" s="2" t="str">
        <f t="shared" si="25"/>
        <v>Normal</v>
      </c>
      <c r="O311" s="2">
        <f t="shared" si="26"/>
        <v>0</v>
      </c>
      <c r="P311" s="2" t="str">
        <f t="shared" si="27"/>
        <v>Normal</v>
      </c>
    </row>
    <row r="312" spans="1:16" x14ac:dyDescent="0.35">
      <c r="A312">
        <v>559.86</v>
      </c>
      <c r="B312">
        <v>8771.14</v>
      </c>
      <c r="C312">
        <v>6665</v>
      </c>
      <c r="D312">
        <v>2106.1399999999994</v>
      </c>
      <c r="E312" s="1">
        <v>41944</v>
      </c>
      <c r="F312">
        <v>11</v>
      </c>
      <c r="G312" s="2" t="s">
        <v>19</v>
      </c>
      <c r="H312">
        <v>2014</v>
      </c>
      <c r="I312">
        <v>7224.86</v>
      </c>
      <c r="J312">
        <v>0</v>
      </c>
      <c r="K312">
        <f t="shared" si="22"/>
        <v>-0.67991138871976708</v>
      </c>
      <c r="L312" t="str">
        <f t="shared" si="23"/>
        <v>Normal</v>
      </c>
      <c r="M312">
        <f t="shared" si="24"/>
        <v>0</v>
      </c>
      <c r="N312" s="2" t="str">
        <f t="shared" si="25"/>
        <v>Normal</v>
      </c>
      <c r="O312" s="2">
        <f t="shared" si="26"/>
        <v>0</v>
      </c>
      <c r="P312" s="2" t="str">
        <f t="shared" si="27"/>
        <v>Normal</v>
      </c>
    </row>
    <row r="313" spans="1:16" x14ac:dyDescent="0.35">
      <c r="A313">
        <v>1037.7</v>
      </c>
      <c r="B313">
        <v>16257.3</v>
      </c>
      <c r="C313">
        <v>11530</v>
      </c>
      <c r="D313">
        <v>4727.2999999999993</v>
      </c>
      <c r="E313" s="1">
        <v>41913</v>
      </c>
      <c r="F313">
        <v>10</v>
      </c>
      <c r="G313" s="2" t="s">
        <v>17</v>
      </c>
      <c r="H313">
        <v>2014</v>
      </c>
      <c r="I313">
        <v>12567.7</v>
      </c>
      <c r="J313">
        <v>0</v>
      </c>
      <c r="K313">
        <f t="shared" si="22"/>
        <v>-0.64826508871568822</v>
      </c>
      <c r="L313" t="str">
        <f t="shared" si="23"/>
        <v>Normal</v>
      </c>
      <c r="M313">
        <f t="shared" si="24"/>
        <v>0</v>
      </c>
      <c r="N313" s="2" t="str">
        <f t="shared" si="25"/>
        <v>Normal</v>
      </c>
      <c r="O313" s="2">
        <f t="shared" si="26"/>
        <v>0</v>
      </c>
      <c r="P313" s="2" t="str">
        <f t="shared" si="27"/>
        <v>Normal</v>
      </c>
    </row>
    <row r="314" spans="1:16" x14ac:dyDescent="0.35">
      <c r="A314">
        <v>610.67999999999995</v>
      </c>
      <c r="B314">
        <v>8113.32</v>
      </c>
      <c r="C314">
        <v>2181</v>
      </c>
      <c r="D314">
        <v>5932.32</v>
      </c>
      <c r="E314" s="1">
        <v>41671</v>
      </c>
      <c r="F314">
        <v>2</v>
      </c>
      <c r="G314" s="2" t="s">
        <v>18</v>
      </c>
      <c r="H314">
        <v>2014</v>
      </c>
      <c r="I314">
        <v>2791.68</v>
      </c>
      <c r="J314">
        <v>0</v>
      </c>
      <c r="K314">
        <f t="shared" si="22"/>
        <v>-0.68269219611216614</v>
      </c>
      <c r="L314" t="str">
        <f t="shared" si="23"/>
        <v>Normal</v>
      </c>
      <c r="M314">
        <f t="shared" si="24"/>
        <v>0</v>
      </c>
      <c r="N314" s="2" t="str">
        <f t="shared" si="25"/>
        <v>Normal</v>
      </c>
      <c r="O314" s="2">
        <f t="shared" si="26"/>
        <v>0</v>
      </c>
      <c r="P314" s="2" t="str">
        <f t="shared" si="27"/>
        <v>Normal</v>
      </c>
    </row>
    <row r="315" spans="1:16" x14ac:dyDescent="0.35">
      <c r="A315">
        <v>1582.56</v>
      </c>
      <c r="B315">
        <v>21025.439999999999</v>
      </c>
      <c r="C315">
        <v>5652</v>
      </c>
      <c r="D315">
        <v>15373.439999999999</v>
      </c>
      <c r="E315" s="1">
        <v>41852</v>
      </c>
      <c r="F315">
        <v>8</v>
      </c>
      <c r="G315" s="2" t="s">
        <v>15</v>
      </c>
      <c r="H315">
        <v>2014</v>
      </c>
      <c r="I315">
        <v>7234.5599999999995</v>
      </c>
      <c r="J315">
        <v>0</v>
      </c>
      <c r="K315">
        <f t="shared" si="22"/>
        <v>-0.62810869493016275</v>
      </c>
      <c r="L315" t="str">
        <f t="shared" si="23"/>
        <v>Normal</v>
      </c>
      <c r="M315">
        <f t="shared" si="24"/>
        <v>0</v>
      </c>
      <c r="N315" s="2" t="str">
        <f t="shared" si="25"/>
        <v>Normal</v>
      </c>
      <c r="O315" s="2">
        <f t="shared" si="26"/>
        <v>0</v>
      </c>
      <c r="P315" s="2" t="str">
        <f t="shared" si="27"/>
        <v>Normal</v>
      </c>
    </row>
    <row r="316" spans="1:16" x14ac:dyDescent="0.35">
      <c r="A316">
        <v>2567.6</v>
      </c>
      <c r="B316">
        <v>34112.400000000001</v>
      </c>
      <c r="C316">
        <v>18340</v>
      </c>
      <c r="D316">
        <v>15772.400000000001</v>
      </c>
      <c r="E316" s="1">
        <v>41518</v>
      </c>
      <c r="F316">
        <v>9</v>
      </c>
      <c r="G316" s="2" t="s">
        <v>16</v>
      </c>
      <c r="H316">
        <v>2013</v>
      </c>
      <c r="I316">
        <v>20907.599999999999</v>
      </c>
      <c r="J316">
        <v>0</v>
      </c>
      <c r="K316">
        <f t="shared" si="22"/>
        <v>-0.57278609131210234</v>
      </c>
      <c r="L316" t="str">
        <f t="shared" si="23"/>
        <v>Normal</v>
      </c>
      <c r="M316">
        <f t="shared" si="24"/>
        <v>0</v>
      </c>
      <c r="N316" s="2" t="str">
        <f t="shared" si="25"/>
        <v>Normal</v>
      </c>
      <c r="O316" s="2">
        <f t="shared" si="26"/>
        <v>0</v>
      </c>
      <c r="P316" s="2" t="str">
        <f t="shared" si="27"/>
        <v>Normal</v>
      </c>
    </row>
    <row r="317" spans="1:16" x14ac:dyDescent="0.35">
      <c r="A317">
        <v>1965.6</v>
      </c>
      <c r="B317">
        <v>26114.400000000001</v>
      </c>
      <c r="C317">
        <v>7020</v>
      </c>
      <c r="D317">
        <v>19094.400000000001</v>
      </c>
      <c r="E317" s="1">
        <v>41640</v>
      </c>
      <c r="F317">
        <v>1</v>
      </c>
      <c r="G317" s="2" t="s">
        <v>10</v>
      </c>
      <c r="H317">
        <v>2014</v>
      </c>
      <c r="I317">
        <v>8985.6</v>
      </c>
      <c r="J317">
        <v>0</v>
      </c>
      <c r="K317">
        <f t="shared" si="22"/>
        <v>-0.60659609636577771</v>
      </c>
      <c r="L317" t="str">
        <f t="shared" si="23"/>
        <v>Normal</v>
      </c>
      <c r="M317">
        <f t="shared" si="24"/>
        <v>0</v>
      </c>
      <c r="N317" s="2" t="str">
        <f t="shared" si="25"/>
        <v>Normal</v>
      </c>
      <c r="O317" s="2">
        <f t="shared" si="26"/>
        <v>0</v>
      </c>
      <c r="P317" s="2" t="str">
        <f t="shared" si="27"/>
        <v>Normal</v>
      </c>
    </row>
    <row r="318" spans="1:16" x14ac:dyDescent="0.35">
      <c r="A318">
        <v>1967.28</v>
      </c>
      <c r="B318">
        <v>26136.720000000001</v>
      </c>
      <c r="C318">
        <v>7026</v>
      </c>
      <c r="D318">
        <v>19110.72</v>
      </c>
      <c r="E318" s="1">
        <v>41944</v>
      </c>
      <c r="F318">
        <v>11</v>
      </c>
      <c r="G318" s="2" t="s">
        <v>19</v>
      </c>
      <c r="H318">
        <v>2014</v>
      </c>
      <c r="I318">
        <v>8993.2800000000007</v>
      </c>
      <c r="J318">
        <v>0</v>
      </c>
      <c r="K318">
        <f t="shared" si="22"/>
        <v>-0.60650174286330227</v>
      </c>
      <c r="L318" t="str">
        <f t="shared" si="23"/>
        <v>Normal</v>
      </c>
      <c r="M318">
        <f t="shared" si="24"/>
        <v>0</v>
      </c>
      <c r="N318" s="2" t="str">
        <f t="shared" si="25"/>
        <v>Normal</v>
      </c>
      <c r="O318" s="2">
        <f t="shared" si="26"/>
        <v>0</v>
      </c>
      <c r="P318" s="2" t="str">
        <f t="shared" si="27"/>
        <v>Normal</v>
      </c>
    </row>
    <row r="319" spans="1:16" x14ac:dyDescent="0.35">
      <c r="A319">
        <v>505.19</v>
      </c>
      <c r="B319">
        <v>6711.81</v>
      </c>
      <c r="C319">
        <v>5155</v>
      </c>
      <c r="D319">
        <v>1556.8100000000004</v>
      </c>
      <c r="E319" s="1">
        <v>41518</v>
      </c>
      <c r="F319">
        <v>9</v>
      </c>
      <c r="G319" s="2" t="s">
        <v>16</v>
      </c>
      <c r="H319">
        <v>2013</v>
      </c>
      <c r="I319">
        <v>5660.19</v>
      </c>
      <c r="J319">
        <v>0</v>
      </c>
      <c r="K319">
        <f t="shared" si="22"/>
        <v>-0.68861680978843232</v>
      </c>
      <c r="L319" t="str">
        <f t="shared" si="23"/>
        <v>Normal</v>
      </c>
      <c r="M319">
        <f t="shared" si="24"/>
        <v>0</v>
      </c>
      <c r="N319" s="2" t="str">
        <f t="shared" si="25"/>
        <v>Normal</v>
      </c>
      <c r="O319" s="2">
        <f t="shared" si="26"/>
        <v>0</v>
      </c>
      <c r="P319" s="2" t="str">
        <f t="shared" si="27"/>
        <v>Normal</v>
      </c>
    </row>
    <row r="320" spans="1:16" x14ac:dyDescent="0.35">
      <c r="A320">
        <v>1325.1</v>
      </c>
      <c r="B320">
        <v>17604.900000000001</v>
      </c>
      <c r="C320">
        <v>12620</v>
      </c>
      <c r="D320">
        <v>4984.9000000000015</v>
      </c>
      <c r="E320" s="1">
        <v>41760</v>
      </c>
      <c r="F320">
        <v>5</v>
      </c>
      <c r="G320" s="2" t="s">
        <v>21</v>
      </c>
      <c r="H320">
        <v>2014</v>
      </c>
      <c r="I320">
        <v>13945.1</v>
      </c>
      <c r="J320">
        <v>0</v>
      </c>
      <c r="K320">
        <f t="shared" si="22"/>
        <v>-0.64256836918451377</v>
      </c>
      <c r="L320" t="str">
        <f t="shared" si="23"/>
        <v>Normal</v>
      </c>
      <c r="M320">
        <f t="shared" si="24"/>
        <v>0</v>
      </c>
      <c r="N320" s="2" t="str">
        <f t="shared" si="25"/>
        <v>Normal</v>
      </c>
      <c r="O320" s="2">
        <f t="shared" si="26"/>
        <v>0</v>
      </c>
      <c r="P320" s="2" t="str">
        <f t="shared" si="27"/>
        <v>Normal</v>
      </c>
    </row>
    <row r="321" spans="1:16" x14ac:dyDescent="0.35">
      <c r="A321">
        <v>556.15</v>
      </c>
      <c r="B321">
        <v>7388.85</v>
      </c>
      <c r="C321">
        <v>5675</v>
      </c>
      <c r="D321">
        <v>1713.8500000000004</v>
      </c>
      <c r="E321" s="1">
        <v>41791</v>
      </c>
      <c r="F321">
        <v>6</v>
      </c>
      <c r="G321" s="2" t="s">
        <v>11</v>
      </c>
      <c r="H321">
        <v>2014</v>
      </c>
      <c r="I321">
        <v>6231.15</v>
      </c>
      <c r="J321">
        <v>0</v>
      </c>
      <c r="K321">
        <f t="shared" si="22"/>
        <v>-0.68575475354667936</v>
      </c>
      <c r="L321" t="str">
        <f t="shared" si="23"/>
        <v>Normal</v>
      </c>
      <c r="M321">
        <f t="shared" si="24"/>
        <v>0</v>
      </c>
      <c r="N321" s="2" t="str">
        <f t="shared" si="25"/>
        <v>Normal</v>
      </c>
      <c r="O321" s="2">
        <f t="shared" si="26"/>
        <v>0</v>
      </c>
      <c r="P321" s="2" t="str">
        <f t="shared" si="27"/>
        <v>Normal</v>
      </c>
    </row>
    <row r="322" spans="1:16" x14ac:dyDescent="0.35">
      <c r="A322">
        <v>268.02999999999997</v>
      </c>
      <c r="B322">
        <v>3560.9700000000003</v>
      </c>
      <c r="C322">
        <v>2735</v>
      </c>
      <c r="D322">
        <v>825.97000000000025</v>
      </c>
      <c r="E322" s="1">
        <v>41944</v>
      </c>
      <c r="F322">
        <v>11</v>
      </c>
      <c r="G322" s="2" t="s">
        <v>19</v>
      </c>
      <c r="H322">
        <v>2014</v>
      </c>
      <c r="I322">
        <v>3003.0299999999997</v>
      </c>
      <c r="J322">
        <v>0</v>
      </c>
      <c r="K322">
        <f t="shared" ref="K322:K385" si="28">(B322 - $U$2) / $U$3</f>
        <v>-0.70193637922120589</v>
      </c>
      <c r="L322" t="str">
        <f t="shared" ref="L322:L385" si="29">IF(ABS(K322) &gt; 3, "Anomaly", "Normal")</f>
        <v>Normal</v>
      </c>
      <c r="M322">
        <f t="shared" ref="M322:M385" si="30">IFERROR((I322-$S$6)/$S$7,0)</f>
        <v>0</v>
      </c>
      <c r="N322" s="2" t="str">
        <f t="shared" ref="N322:N385" si="31">IF(ABS(M322) &gt; 3, "Anomaly", "Normal")</f>
        <v>Normal</v>
      </c>
      <c r="O322" s="2">
        <f t="shared" ref="O322:O385" si="32">IFERROR((J322-$Q$2)/$Q$3,0)</f>
        <v>0</v>
      </c>
      <c r="P322" s="2" t="str">
        <f t="shared" ref="P322:P385" si="33">IF(ABS(O322)&gt;3,"Anomaly","Normal")</f>
        <v>Normal</v>
      </c>
    </row>
    <row r="323" spans="1:16" x14ac:dyDescent="0.35">
      <c r="A323">
        <v>775.18</v>
      </c>
      <c r="B323">
        <v>10298.82</v>
      </c>
      <c r="C323">
        <v>7910</v>
      </c>
      <c r="D323">
        <v>2388.8199999999997</v>
      </c>
      <c r="E323" s="1">
        <v>41974</v>
      </c>
      <c r="F323">
        <v>12</v>
      </c>
      <c r="G323" s="2" t="s">
        <v>12</v>
      </c>
      <c r="H323">
        <v>2014</v>
      </c>
      <c r="I323">
        <v>8685.18</v>
      </c>
      <c r="J323">
        <v>0</v>
      </c>
      <c r="K323">
        <f t="shared" si="28"/>
        <v>-0.67345341566145256</v>
      </c>
      <c r="L323" t="str">
        <f t="shared" si="29"/>
        <v>Normal</v>
      </c>
      <c r="M323">
        <f t="shared" si="30"/>
        <v>0</v>
      </c>
      <c r="N323" s="2" t="str">
        <f t="shared" si="31"/>
        <v>Normal</v>
      </c>
      <c r="O323" s="2">
        <f t="shared" si="32"/>
        <v>0</v>
      </c>
      <c r="P323" s="2" t="str">
        <f t="shared" si="33"/>
        <v>Normal</v>
      </c>
    </row>
    <row r="324" spans="1:16" x14ac:dyDescent="0.35">
      <c r="A324">
        <v>1460.34</v>
      </c>
      <c r="B324">
        <v>19401.66</v>
      </c>
      <c r="C324">
        <v>5215.5</v>
      </c>
      <c r="D324">
        <v>14186.16</v>
      </c>
      <c r="E324" s="1">
        <v>41730</v>
      </c>
      <c r="F324">
        <v>4</v>
      </c>
      <c r="G324" s="2" t="s">
        <v>20</v>
      </c>
      <c r="H324">
        <v>2014</v>
      </c>
      <c r="I324">
        <v>6675.84</v>
      </c>
      <c r="J324">
        <v>0</v>
      </c>
      <c r="K324">
        <f t="shared" si="28"/>
        <v>-0.63497291223524621</v>
      </c>
      <c r="L324" t="str">
        <f t="shared" si="29"/>
        <v>Normal</v>
      </c>
      <c r="M324">
        <f t="shared" si="30"/>
        <v>0</v>
      </c>
      <c r="N324" s="2" t="str">
        <f t="shared" si="31"/>
        <v>Normal</v>
      </c>
      <c r="O324" s="2">
        <f t="shared" si="32"/>
        <v>0</v>
      </c>
      <c r="P324" s="2" t="str">
        <f t="shared" si="33"/>
        <v>Normal</v>
      </c>
    </row>
    <row r="325" spans="1:16" x14ac:dyDescent="0.35">
      <c r="A325">
        <v>1860.6</v>
      </c>
      <c r="B325">
        <v>24719.4</v>
      </c>
      <c r="C325">
        <v>6645</v>
      </c>
      <c r="D325">
        <v>18074.400000000001</v>
      </c>
      <c r="E325" s="1">
        <v>41518</v>
      </c>
      <c r="F325">
        <v>9</v>
      </c>
      <c r="G325" s="2" t="s">
        <v>16</v>
      </c>
      <c r="H325">
        <v>2013</v>
      </c>
      <c r="I325">
        <v>8505.6</v>
      </c>
      <c r="J325">
        <v>0</v>
      </c>
      <c r="K325">
        <f t="shared" si="28"/>
        <v>-0.61249319027048854</v>
      </c>
      <c r="L325" t="str">
        <f t="shared" si="29"/>
        <v>Normal</v>
      </c>
      <c r="M325">
        <f t="shared" si="30"/>
        <v>0</v>
      </c>
      <c r="N325" s="2" t="str">
        <f t="shared" si="31"/>
        <v>Normal</v>
      </c>
      <c r="O325" s="2">
        <f t="shared" si="32"/>
        <v>0</v>
      </c>
      <c r="P325" s="2" t="str">
        <f t="shared" si="33"/>
        <v>Normal</v>
      </c>
    </row>
    <row r="326" spans="1:16" x14ac:dyDescent="0.35">
      <c r="A326">
        <v>775.18</v>
      </c>
      <c r="B326">
        <v>10298.82</v>
      </c>
      <c r="C326">
        <v>7910</v>
      </c>
      <c r="D326">
        <v>2388.8199999999997</v>
      </c>
      <c r="E326" s="1">
        <v>41974</v>
      </c>
      <c r="F326">
        <v>12</v>
      </c>
      <c r="G326" s="2" t="s">
        <v>12</v>
      </c>
      <c r="H326">
        <v>2014</v>
      </c>
      <c r="I326">
        <v>8685.18</v>
      </c>
      <c r="J326">
        <v>0</v>
      </c>
      <c r="K326">
        <f t="shared" si="28"/>
        <v>-0.67345341566145256</v>
      </c>
      <c r="L326" t="str">
        <f t="shared" si="29"/>
        <v>Normal</v>
      </c>
      <c r="M326">
        <f t="shared" si="30"/>
        <v>0</v>
      </c>
      <c r="N326" s="2" t="str">
        <f t="shared" si="31"/>
        <v>Normal</v>
      </c>
      <c r="O326" s="2">
        <f t="shared" si="32"/>
        <v>0</v>
      </c>
      <c r="P326" s="2" t="str">
        <f t="shared" si="33"/>
        <v>Normal</v>
      </c>
    </row>
    <row r="327" spans="1:16" x14ac:dyDescent="0.35">
      <c r="A327">
        <v>556.15</v>
      </c>
      <c r="B327">
        <v>7388.85</v>
      </c>
      <c r="C327">
        <v>5675</v>
      </c>
      <c r="D327">
        <v>1713.8500000000004</v>
      </c>
      <c r="E327" s="1">
        <v>41791</v>
      </c>
      <c r="F327">
        <v>6</v>
      </c>
      <c r="G327" s="2" t="s">
        <v>11</v>
      </c>
      <c r="H327">
        <v>2014</v>
      </c>
      <c r="I327">
        <v>6231.15</v>
      </c>
      <c r="J327">
        <v>0</v>
      </c>
      <c r="K327">
        <f t="shared" si="28"/>
        <v>-0.68575475354667936</v>
      </c>
      <c r="L327" t="str">
        <f t="shared" si="29"/>
        <v>Normal</v>
      </c>
      <c r="M327">
        <f t="shared" si="30"/>
        <v>0</v>
      </c>
      <c r="N327" s="2" t="str">
        <f t="shared" si="31"/>
        <v>Normal</v>
      </c>
      <c r="O327" s="2">
        <f t="shared" si="32"/>
        <v>0</v>
      </c>
      <c r="P327" s="2" t="str">
        <f t="shared" si="33"/>
        <v>Normal</v>
      </c>
    </row>
    <row r="328" spans="1:16" x14ac:dyDescent="0.35">
      <c r="A328">
        <v>43144.5</v>
      </c>
      <c r="B328">
        <v>573205.5</v>
      </c>
      <c r="C328">
        <v>457860</v>
      </c>
      <c r="D328">
        <v>115345.5</v>
      </c>
      <c r="E328" s="1">
        <v>41699</v>
      </c>
      <c r="F328">
        <v>3</v>
      </c>
      <c r="G328" s="2" t="s">
        <v>13</v>
      </c>
      <c r="H328">
        <v>2014</v>
      </c>
      <c r="I328">
        <v>501004.5</v>
      </c>
      <c r="J328">
        <v>0</v>
      </c>
      <c r="K328">
        <f t="shared" si="28"/>
        <v>1.7061261911837142</v>
      </c>
      <c r="L328" t="str">
        <f t="shared" si="29"/>
        <v>Normal</v>
      </c>
      <c r="M328">
        <f t="shared" si="30"/>
        <v>0</v>
      </c>
      <c r="N328" s="2" t="str">
        <f t="shared" si="31"/>
        <v>Normal</v>
      </c>
      <c r="O328" s="2">
        <f t="shared" si="32"/>
        <v>0</v>
      </c>
      <c r="P328" s="2" t="str">
        <f t="shared" si="33"/>
        <v>Normal</v>
      </c>
    </row>
    <row r="329" spans="1:16" x14ac:dyDescent="0.35">
      <c r="A329">
        <v>9408</v>
      </c>
      <c r="B329">
        <v>124992</v>
      </c>
      <c r="C329">
        <v>112000</v>
      </c>
      <c r="D329">
        <v>12992</v>
      </c>
      <c r="E329" s="1">
        <v>41791</v>
      </c>
      <c r="F329">
        <v>6</v>
      </c>
      <c r="G329" s="2" t="s">
        <v>11</v>
      </c>
      <c r="H329">
        <v>2014</v>
      </c>
      <c r="I329">
        <v>121408</v>
      </c>
      <c r="J329">
        <v>0</v>
      </c>
      <c r="K329">
        <f t="shared" si="28"/>
        <v>-0.18861008039987429</v>
      </c>
      <c r="L329" t="str">
        <f t="shared" si="29"/>
        <v>Normal</v>
      </c>
      <c r="M329">
        <f t="shared" si="30"/>
        <v>0</v>
      </c>
      <c r="N329" s="2" t="str">
        <f t="shared" si="31"/>
        <v>Normal</v>
      </c>
      <c r="O329" s="2">
        <f t="shared" si="32"/>
        <v>0</v>
      </c>
      <c r="P329" s="2" t="str">
        <f t="shared" si="33"/>
        <v>Normal</v>
      </c>
    </row>
    <row r="330" spans="1:16" x14ac:dyDescent="0.35">
      <c r="A330">
        <v>45801</v>
      </c>
      <c r="B330">
        <v>608499</v>
      </c>
      <c r="C330">
        <v>545250</v>
      </c>
      <c r="D330">
        <v>63249</v>
      </c>
      <c r="E330" s="1">
        <v>41913</v>
      </c>
      <c r="F330">
        <v>10</v>
      </c>
      <c r="G330" s="2" t="s">
        <v>17</v>
      </c>
      <c r="H330">
        <v>2014</v>
      </c>
      <c r="I330">
        <v>591051</v>
      </c>
      <c r="J330">
        <v>0</v>
      </c>
      <c r="K330">
        <f t="shared" si="28"/>
        <v>1.8553226669728979</v>
      </c>
      <c r="L330" t="str">
        <f t="shared" si="29"/>
        <v>Normal</v>
      </c>
      <c r="M330">
        <f t="shared" si="30"/>
        <v>0</v>
      </c>
      <c r="N330" s="2" t="str">
        <f t="shared" si="31"/>
        <v>Normal</v>
      </c>
      <c r="O330" s="2">
        <f t="shared" si="32"/>
        <v>0</v>
      </c>
      <c r="P330" s="2" t="str">
        <f t="shared" si="33"/>
        <v>Normal</v>
      </c>
    </row>
    <row r="331" spans="1:16" x14ac:dyDescent="0.35">
      <c r="A331">
        <v>2766.4</v>
      </c>
      <c r="B331">
        <v>36753.599999999999</v>
      </c>
      <c r="C331">
        <v>19760</v>
      </c>
      <c r="D331">
        <v>16993.599999999999</v>
      </c>
      <c r="E331" s="1">
        <v>41913</v>
      </c>
      <c r="F331">
        <v>10</v>
      </c>
      <c r="G331" s="2" t="s">
        <v>17</v>
      </c>
      <c r="H331">
        <v>2014</v>
      </c>
      <c r="I331">
        <v>22526.400000000001</v>
      </c>
      <c r="J331">
        <v>0</v>
      </c>
      <c r="K331">
        <f t="shared" si="28"/>
        <v>-0.56162092685251641</v>
      </c>
      <c r="L331" t="str">
        <f t="shared" si="29"/>
        <v>Normal</v>
      </c>
      <c r="M331">
        <f t="shared" si="30"/>
        <v>0</v>
      </c>
      <c r="N331" s="2" t="str">
        <f t="shared" si="31"/>
        <v>Normal</v>
      </c>
      <c r="O331" s="2">
        <f t="shared" si="32"/>
        <v>0</v>
      </c>
      <c r="P331" s="2" t="str">
        <f t="shared" si="33"/>
        <v>Normal</v>
      </c>
    </row>
    <row r="332" spans="1:16" x14ac:dyDescent="0.35">
      <c r="A332">
        <v>45801</v>
      </c>
      <c r="B332">
        <v>608499</v>
      </c>
      <c r="C332">
        <v>545250</v>
      </c>
      <c r="D332">
        <v>63249</v>
      </c>
      <c r="E332" s="1">
        <v>41913</v>
      </c>
      <c r="F332">
        <v>10</v>
      </c>
      <c r="G332" s="2" t="s">
        <v>17</v>
      </c>
      <c r="H332">
        <v>2014</v>
      </c>
      <c r="I332">
        <v>591051</v>
      </c>
      <c r="J332">
        <v>0</v>
      </c>
      <c r="K332">
        <f t="shared" si="28"/>
        <v>1.8553226669728979</v>
      </c>
      <c r="L332" t="str">
        <f t="shared" si="29"/>
        <v>Normal</v>
      </c>
      <c r="M332">
        <f t="shared" si="30"/>
        <v>0</v>
      </c>
      <c r="N332" s="2" t="str">
        <f t="shared" si="31"/>
        <v>Normal</v>
      </c>
      <c r="O332" s="2">
        <f t="shared" si="32"/>
        <v>0</v>
      </c>
      <c r="P332" s="2" t="str">
        <f t="shared" si="33"/>
        <v>Normal</v>
      </c>
    </row>
    <row r="333" spans="1:16" x14ac:dyDescent="0.35">
      <c r="A333">
        <v>21875</v>
      </c>
      <c r="B333">
        <v>290625</v>
      </c>
      <c r="C333">
        <v>300000</v>
      </c>
      <c r="D333">
        <v>-9375</v>
      </c>
      <c r="E333" s="1">
        <v>41579</v>
      </c>
      <c r="F333">
        <v>11</v>
      </c>
      <c r="G333" s="2" t="s">
        <v>19</v>
      </c>
      <c r="H333">
        <v>2013</v>
      </c>
      <c r="I333">
        <v>321875</v>
      </c>
      <c r="J333">
        <v>0</v>
      </c>
      <c r="K333">
        <f t="shared" si="28"/>
        <v>0.51157153588612447</v>
      </c>
      <c r="L333" t="str">
        <f t="shared" si="29"/>
        <v>Normal</v>
      </c>
      <c r="M333">
        <f t="shared" si="30"/>
        <v>0</v>
      </c>
      <c r="N333" s="2" t="str">
        <f t="shared" si="31"/>
        <v>Normal</v>
      </c>
      <c r="O333" s="2">
        <f t="shared" si="32"/>
        <v>0</v>
      </c>
      <c r="P333" s="2" t="str">
        <f t="shared" si="33"/>
        <v>Normal</v>
      </c>
    </row>
    <row r="334" spans="1:16" x14ac:dyDescent="0.35">
      <c r="A334">
        <v>35742</v>
      </c>
      <c r="B334">
        <v>474858</v>
      </c>
      <c r="C334">
        <v>425500</v>
      </c>
      <c r="D334">
        <v>49358</v>
      </c>
      <c r="E334" s="1">
        <v>41760</v>
      </c>
      <c r="F334">
        <v>5</v>
      </c>
      <c r="G334" s="2" t="s">
        <v>21</v>
      </c>
      <c r="H334">
        <v>2014</v>
      </c>
      <c r="I334">
        <v>461242</v>
      </c>
      <c r="J334">
        <v>0</v>
      </c>
      <c r="K334">
        <f t="shared" si="28"/>
        <v>1.2903810709016008</v>
      </c>
      <c r="L334" t="str">
        <f t="shared" si="29"/>
        <v>Normal</v>
      </c>
      <c r="M334">
        <f t="shared" si="30"/>
        <v>0</v>
      </c>
      <c r="N334" s="2" t="str">
        <f t="shared" si="31"/>
        <v>Normal</v>
      </c>
      <c r="O334" s="2">
        <f t="shared" si="32"/>
        <v>0</v>
      </c>
      <c r="P334" s="2" t="str">
        <f t="shared" si="33"/>
        <v>Normal</v>
      </c>
    </row>
    <row r="335" spans="1:16" x14ac:dyDescent="0.35">
      <c r="A335">
        <v>9408</v>
      </c>
      <c r="B335">
        <v>124992</v>
      </c>
      <c r="C335">
        <v>112000</v>
      </c>
      <c r="D335">
        <v>12992</v>
      </c>
      <c r="E335" s="1">
        <v>41791</v>
      </c>
      <c r="F335">
        <v>6</v>
      </c>
      <c r="G335" s="2" t="s">
        <v>11</v>
      </c>
      <c r="H335">
        <v>2014</v>
      </c>
      <c r="I335">
        <v>121408</v>
      </c>
      <c r="J335">
        <v>0</v>
      </c>
      <c r="K335">
        <f t="shared" si="28"/>
        <v>-0.18861008039987429</v>
      </c>
      <c r="L335" t="str">
        <f t="shared" si="29"/>
        <v>Normal</v>
      </c>
      <c r="M335">
        <f t="shared" si="30"/>
        <v>0</v>
      </c>
      <c r="N335" s="2" t="str">
        <f t="shared" si="31"/>
        <v>Normal</v>
      </c>
      <c r="O335" s="2">
        <f t="shared" si="32"/>
        <v>0</v>
      </c>
      <c r="P335" s="2" t="str">
        <f t="shared" si="33"/>
        <v>Normal</v>
      </c>
    </row>
    <row r="336" spans="1:16" x14ac:dyDescent="0.35">
      <c r="A336">
        <v>30738.75</v>
      </c>
      <c r="B336">
        <v>408386.25</v>
      </c>
      <c r="C336">
        <v>421560</v>
      </c>
      <c r="D336">
        <v>-13173.75</v>
      </c>
      <c r="E336" s="1">
        <v>41821</v>
      </c>
      <c r="F336">
        <v>7</v>
      </c>
      <c r="G336" s="2" t="s">
        <v>14</v>
      </c>
      <c r="H336">
        <v>2014</v>
      </c>
      <c r="I336">
        <v>452298.75</v>
      </c>
      <c r="J336">
        <v>0</v>
      </c>
      <c r="K336">
        <f t="shared" si="28"/>
        <v>1.00938454634213</v>
      </c>
      <c r="L336" t="str">
        <f t="shared" si="29"/>
        <v>Normal</v>
      </c>
      <c r="M336">
        <f t="shared" si="30"/>
        <v>0</v>
      </c>
      <c r="N336" s="2" t="str">
        <f t="shared" si="31"/>
        <v>Normal</v>
      </c>
      <c r="O336" s="2">
        <f t="shared" si="32"/>
        <v>0</v>
      </c>
      <c r="P336" s="2" t="str">
        <f t="shared" si="33"/>
        <v>Normal</v>
      </c>
    </row>
    <row r="337" spans="1:16" x14ac:dyDescent="0.35">
      <c r="A337">
        <v>2206.0500000000002</v>
      </c>
      <c r="B337">
        <v>29308.95</v>
      </c>
      <c r="C337">
        <v>21010</v>
      </c>
      <c r="D337">
        <v>8298.9500000000007</v>
      </c>
      <c r="E337" s="1">
        <v>41852</v>
      </c>
      <c r="F337">
        <v>8</v>
      </c>
      <c r="G337" s="2" t="s">
        <v>15</v>
      </c>
      <c r="H337">
        <v>2014</v>
      </c>
      <c r="I337">
        <v>23216.05</v>
      </c>
      <c r="J337">
        <v>0</v>
      </c>
      <c r="K337">
        <f t="shared" si="28"/>
        <v>-0.59309175132398984</v>
      </c>
      <c r="L337" t="str">
        <f t="shared" si="29"/>
        <v>Normal</v>
      </c>
      <c r="M337">
        <f t="shared" si="30"/>
        <v>0</v>
      </c>
      <c r="N337" s="2" t="str">
        <f t="shared" si="31"/>
        <v>Normal</v>
      </c>
      <c r="O337" s="2">
        <f t="shared" si="32"/>
        <v>0</v>
      </c>
      <c r="P337" s="2" t="str">
        <f t="shared" si="33"/>
        <v>Normal</v>
      </c>
    </row>
    <row r="338" spans="1:16" x14ac:dyDescent="0.35">
      <c r="A338">
        <v>3077.55</v>
      </c>
      <c r="B338">
        <v>40887.449999999997</v>
      </c>
      <c r="C338">
        <v>29310</v>
      </c>
      <c r="D338">
        <v>11577.449999999997</v>
      </c>
      <c r="E338" s="1">
        <v>41518</v>
      </c>
      <c r="F338">
        <v>9</v>
      </c>
      <c r="G338" s="2" t="s">
        <v>16</v>
      </c>
      <c r="H338">
        <v>2013</v>
      </c>
      <c r="I338">
        <v>32387.55</v>
      </c>
      <c r="J338">
        <v>0</v>
      </c>
      <c r="K338">
        <f t="shared" si="28"/>
        <v>-0.54414587191489006</v>
      </c>
      <c r="L338" t="str">
        <f t="shared" si="29"/>
        <v>Normal</v>
      </c>
      <c r="M338">
        <f t="shared" si="30"/>
        <v>0</v>
      </c>
      <c r="N338" s="2" t="str">
        <f t="shared" si="31"/>
        <v>Normal</v>
      </c>
      <c r="O338" s="2">
        <f t="shared" si="32"/>
        <v>0</v>
      </c>
      <c r="P338" s="2" t="str">
        <f t="shared" si="33"/>
        <v>Normal</v>
      </c>
    </row>
    <row r="339" spans="1:16" x14ac:dyDescent="0.35">
      <c r="A339">
        <v>2149</v>
      </c>
      <c r="B339">
        <v>28551</v>
      </c>
      <c r="C339">
        <v>15350</v>
      </c>
      <c r="D339">
        <v>13201</v>
      </c>
      <c r="E339" s="1">
        <v>41883</v>
      </c>
      <c r="F339">
        <v>9</v>
      </c>
      <c r="G339" s="2" t="s">
        <v>16</v>
      </c>
      <c r="H339">
        <v>2014</v>
      </c>
      <c r="I339">
        <v>17499</v>
      </c>
      <c r="J339">
        <v>0</v>
      </c>
      <c r="K339">
        <f t="shared" si="28"/>
        <v>-0.59629583901221606</v>
      </c>
      <c r="L339" t="str">
        <f t="shared" si="29"/>
        <v>Normal</v>
      </c>
      <c r="M339">
        <f t="shared" si="30"/>
        <v>0</v>
      </c>
      <c r="N339" s="2" t="str">
        <f t="shared" si="31"/>
        <v>Normal</v>
      </c>
      <c r="O339" s="2">
        <f t="shared" si="32"/>
        <v>0</v>
      </c>
      <c r="P339" s="2" t="str">
        <f t="shared" si="33"/>
        <v>Normal</v>
      </c>
    </row>
    <row r="340" spans="1:16" x14ac:dyDescent="0.35">
      <c r="A340">
        <v>23583</v>
      </c>
      <c r="B340">
        <v>313317</v>
      </c>
      <c r="C340">
        <v>280750</v>
      </c>
      <c r="D340">
        <v>32567</v>
      </c>
      <c r="E340" s="1">
        <v>41518</v>
      </c>
      <c r="F340">
        <v>9</v>
      </c>
      <c r="G340" s="2" t="s">
        <v>16</v>
      </c>
      <c r="H340">
        <v>2013</v>
      </c>
      <c r="I340">
        <v>304333</v>
      </c>
      <c r="J340">
        <v>0</v>
      </c>
      <c r="K340">
        <f t="shared" si="28"/>
        <v>0.60749759673608728</v>
      </c>
      <c r="L340" t="str">
        <f t="shared" si="29"/>
        <v>Normal</v>
      </c>
      <c r="M340">
        <f t="shared" si="30"/>
        <v>0</v>
      </c>
      <c r="N340" s="2" t="str">
        <f t="shared" si="31"/>
        <v>Normal</v>
      </c>
      <c r="O340" s="2">
        <f t="shared" si="32"/>
        <v>0</v>
      </c>
      <c r="P340" s="2" t="str">
        <f t="shared" si="33"/>
        <v>Normal</v>
      </c>
    </row>
    <row r="341" spans="1:16" x14ac:dyDescent="0.35">
      <c r="A341">
        <v>29484</v>
      </c>
      <c r="B341">
        <v>391716</v>
      </c>
      <c r="C341">
        <v>351000</v>
      </c>
      <c r="D341">
        <v>40716</v>
      </c>
      <c r="E341" s="1">
        <v>41579</v>
      </c>
      <c r="F341">
        <v>11</v>
      </c>
      <c r="G341" s="2" t="s">
        <v>19</v>
      </c>
      <c r="H341">
        <v>2013</v>
      </c>
      <c r="I341">
        <v>380484</v>
      </c>
      <c r="J341">
        <v>0</v>
      </c>
      <c r="K341">
        <f t="shared" si="28"/>
        <v>0.93891427418083573</v>
      </c>
      <c r="L341" t="str">
        <f t="shared" si="29"/>
        <v>Normal</v>
      </c>
      <c r="M341">
        <f t="shared" si="30"/>
        <v>0</v>
      </c>
      <c r="N341" s="2" t="str">
        <f t="shared" si="31"/>
        <v>Normal</v>
      </c>
      <c r="O341" s="2">
        <f t="shared" si="32"/>
        <v>0</v>
      </c>
      <c r="P341" s="2" t="str">
        <f t="shared" si="33"/>
        <v>Normal</v>
      </c>
    </row>
    <row r="342" spans="1:16" x14ac:dyDescent="0.35">
      <c r="A342">
        <v>2320.92</v>
      </c>
      <c r="B342">
        <v>30835.08</v>
      </c>
      <c r="C342">
        <v>8289</v>
      </c>
      <c r="D342">
        <v>22546.080000000002</v>
      </c>
      <c r="E342" s="1">
        <v>41579</v>
      </c>
      <c r="F342">
        <v>11</v>
      </c>
      <c r="G342" s="2" t="s">
        <v>19</v>
      </c>
      <c r="H342">
        <v>2013</v>
      </c>
      <c r="I342">
        <v>10609.92</v>
      </c>
      <c r="J342">
        <v>0</v>
      </c>
      <c r="K342">
        <f t="shared" si="28"/>
        <v>-0.5866403305922363</v>
      </c>
      <c r="L342" t="str">
        <f t="shared" si="29"/>
        <v>Normal</v>
      </c>
      <c r="M342">
        <f t="shared" si="30"/>
        <v>0</v>
      </c>
      <c r="N342" s="2" t="str">
        <f t="shared" si="31"/>
        <v>Normal</v>
      </c>
      <c r="O342" s="2">
        <f t="shared" si="32"/>
        <v>0</v>
      </c>
      <c r="P342" s="2" t="str">
        <f t="shared" si="33"/>
        <v>Normal</v>
      </c>
    </row>
    <row r="343" spans="1:16" x14ac:dyDescent="0.35">
      <c r="A343">
        <v>1041.25</v>
      </c>
      <c r="B343">
        <v>13833.75</v>
      </c>
      <c r="C343">
        <v>10625</v>
      </c>
      <c r="D343">
        <v>3208.75</v>
      </c>
      <c r="E343" s="1">
        <v>41609</v>
      </c>
      <c r="F343">
        <v>12</v>
      </c>
      <c r="G343" s="2" t="s">
        <v>12</v>
      </c>
      <c r="H343">
        <v>2013</v>
      </c>
      <c r="I343">
        <v>11666.25</v>
      </c>
      <c r="J343">
        <v>0</v>
      </c>
      <c r="K343">
        <f t="shared" si="28"/>
        <v>-0.65851017970691528</v>
      </c>
      <c r="L343" t="str">
        <f t="shared" si="29"/>
        <v>Normal</v>
      </c>
      <c r="M343">
        <f t="shared" si="30"/>
        <v>0</v>
      </c>
      <c r="N343" s="2" t="str">
        <f t="shared" si="31"/>
        <v>Normal</v>
      </c>
      <c r="O343" s="2">
        <f t="shared" si="32"/>
        <v>0</v>
      </c>
      <c r="P343" s="2" t="str">
        <f t="shared" si="33"/>
        <v>Normal</v>
      </c>
    </row>
    <row r="344" spans="1:16" x14ac:dyDescent="0.35">
      <c r="A344">
        <v>34839</v>
      </c>
      <c r="B344">
        <v>462861</v>
      </c>
      <c r="C344">
        <v>414750</v>
      </c>
      <c r="D344">
        <v>48111</v>
      </c>
      <c r="E344" s="1">
        <v>41821</v>
      </c>
      <c r="F344">
        <v>7</v>
      </c>
      <c r="G344" s="2" t="s">
        <v>14</v>
      </c>
      <c r="H344">
        <v>2014</v>
      </c>
      <c r="I344">
        <v>449589</v>
      </c>
      <c r="J344">
        <v>0</v>
      </c>
      <c r="K344">
        <f t="shared" si="28"/>
        <v>1.2396660633210879</v>
      </c>
      <c r="L344" t="str">
        <f t="shared" si="29"/>
        <v>Normal</v>
      </c>
      <c r="M344">
        <f t="shared" si="30"/>
        <v>0</v>
      </c>
      <c r="N344" s="2" t="str">
        <f t="shared" si="31"/>
        <v>Normal</v>
      </c>
      <c r="O344" s="2">
        <f t="shared" si="32"/>
        <v>0</v>
      </c>
      <c r="P344" s="2" t="str">
        <f t="shared" si="33"/>
        <v>Normal</v>
      </c>
    </row>
    <row r="345" spans="1:16" x14ac:dyDescent="0.35">
      <c r="A345">
        <v>852.6</v>
      </c>
      <c r="B345">
        <v>11327.4</v>
      </c>
      <c r="C345">
        <v>6090</v>
      </c>
      <c r="D345">
        <v>5237.3999999999996</v>
      </c>
      <c r="E345" s="1">
        <v>41852</v>
      </c>
      <c r="F345">
        <v>8</v>
      </c>
      <c r="G345" s="2" t="s">
        <v>15</v>
      </c>
      <c r="H345">
        <v>2014</v>
      </c>
      <c r="I345">
        <v>6942.6</v>
      </c>
      <c r="J345">
        <v>0</v>
      </c>
      <c r="K345">
        <f t="shared" si="28"/>
        <v>-0.66910529175571243</v>
      </c>
      <c r="L345" t="str">
        <f t="shared" si="29"/>
        <v>Normal</v>
      </c>
      <c r="M345">
        <f t="shared" si="30"/>
        <v>0</v>
      </c>
      <c r="N345" s="2" t="str">
        <f t="shared" si="31"/>
        <v>Normal</v>
      </c>
      <c r="O345" s="2">
        <f t="shared" si="32"/>
        <v>0</v>
      </c>
      <c r="P345" s="2" t="str">
        <f t="shared" si="33"/>
        <v>Normal</v>
      </c>
    </row>
    <row r="346" spans="1:16" x14ac:dyDescent="0.35">
      <c r="A346">
        <v>18261.25</v>
      </c>
      <c r="B346">
        <v>242613.75</v>
      </c>
      <c r="C346">
        <v>250440</v>
      </c>
      <c r="D346">
        <v>-7826.25</v>
      </c>
      <c r="E346" s="1">
        <v>41883</v>
      </c>
      <c r="F346">
        <v>9</v>
      </c>
      <c r="G346" s="2" t="s">
        <v>16</v>
      </c>
      <c r="H346">
        <v>2014</v>
      </c>
      <c r="I346">
        <v>268701.25</v>
      </c>
      <c r="J346">
        <v>0</v>
      </c>
      <c r="K346">
        <f t="shared" si="28"/>
        <v>0.30861322066566022</v>
      </c>
      <c r="L346" t="str">
        <f t="shared" si="29"/>
        <v>Normal</v>
      </c>
      <c r="M346">
        <f t="shared" si="30"/>
        <v>0</v>
      </c>
      <c r="N346" s="2" t="str">
        <f t="shared" si="31"/>
        <v>Normal</v>
      </c>
      <c r="O346" s="2">
        <f t="shared" si="32"/>
        <v>0</v>
      </c>
      <c r="P346" s="2" t="str">
        <f t="shared" si="33"/>
        <v>Normal</v>
      </c>
    </row>
    <row r="347" spans="1:16" x14ac:dyDescent="0.35">
      <c r="A347">
        <v>2766.4</v>
      </c>
      <c r="B347">
        <v>36753.599999999999</v>
      </c>
      <c r="C347">
        <v>19760</v>
      </c>
      <c r="D347">
        <v>16993.599999999999</v>
      </c>
      <c r="E347" s="1">
        <v>41913</v>
      </c>
      <c r="F347">
        <v>10</v>
      </c>
      <c r="G347" s="2" t="s">
        <v>17</v>
      </c>
      <c r="H347">
        <v>2014</v>
      </c>
      <c r="I347">
        <v>22526.400000000001</v>
      </c>
      <c r="J347">
        <v>0</v>
      </c>
      <c r="K347">
        <f t="shared" si="28"/>
        <v>-0.56162092685251641</v>
      </c>
      <c r="L347" t="str">
        <f t="shared" si="29"/>
        <v>Normal</v>
      </c>
      <c r="M347">
        <f t="shared" si="30"/>
        <v>0</v>
      </c>
      <c r="N347" s="2" t="str">
        <f t="shared" si="31"/>
        <v>Normal</v>
      </c>
      <c r="O347" s="2">
        <f t="shared" si="32"/>
        <v>0</v>
      </c>
      <c r="P347" s="2" t="str">
        <f t="shared" si="33"/>
        <v>Normal</v>
      </c>
    </row>
    <row r="348" spans="1:16" x14ac:dyDescent="0.35">
      <c r="A348">
        <v>1989.4</v>
      </c>
      <c r="B348">
        <v>26430.6</v>
      </c>
      <c r="C348">
        <v>14210</v>
      </c>
      <c r="D348">
        <v>12220.599999999999</v>
      </c>
      <c r="E348" s="1">
        <v>41609</v>
      </c>
      <c r="F348">
        <v>12</v>
      </c>
      <c r="G348" s="2" t="s">
        <v>12</v>
      </c>
      <c r="H348">
        <v>2013</v>
      </c>
      <c r="I348">
        <v>16199.4</v>
      </c>
      <c r="J348">
        <v>0</v>
      </c>
      <c r="K348">
        <f t="shared" si="28"/>
        <v>-0.60525942174737657</v>
      </c>
      <c r="L348" t="str">
        <f t="shared" si="29"/>
        <v>Normal</v>
      </c>
      <c r="M348">
        <f t="shared" si="30"/>
        <v>0</v>
      </c>
      <c r="N348" s="2" t="str">
        <f t="shared" si="31"/>
        <v>Normal</v>
      </c>
      <c r="O348" s="2">
        <f t="shared" si="32"/>
        <v>0</v>
      </c>
      <c r="P348" s="2" t="str">
        <f t="shared" si="33"/>
        <v>Normal</v>
      </c>
    </row>
    <row r="349" spans="1:16" x14ac:dyDescent="0.35">
      <c r="A349">
        <v>28812</v>
      </c>
      <c r="B349">
        <v>382788</v>
      </c>
      <c r="C349">
        <v>343000</v>
      </c>
      <c r="D349">
        <v>39788</v>
      </c>
      <c r="E349" s="1">
        <v>41974</v>
      </c>
      <c r="F349">
        <v>12</v>
      </c>
      <c r="G349" s="2" t="s">
        <v>12</v>
      </c>
      <c r="H349">
        <v>2014</v>
      </c>
      <c r="I349">
        <v>371812</v>
      </c>
      <c r="J349">
        <v>0</v>
      </c>
      <c r="K349">
        <f t="shared" si="28"/>
        <v>0.9011728731906864</v>
      </c>
      <c r="L349" t="str">
        <f t="shared" si="29"/>
        <v>Normal</v>
      </c>
      <c r="M349">
        <f t="shared" si="30"/>
        <v>0</v>
      </c>
      <c r="N349" s="2" t="str">
        <f t="shared" si="31"/>
        <v>Normal</v>
      </c>
      <c r="O349" s="2">
        <f t="shared" si="32"/>
        <v>0</v>
      </c>
      <c r="P349" s="2" t="str">
        <f t="shared" si="33"/>
        <v>Normal</v>
      </c>
    </row>
    <row r="350" spans="1:16" x14ac:dyDescent="0.35">
      <c r="A350">
        <v>823.2</v>
      </c>
      <c r="B350">
        <v>10936.8</v>
      </c>
      <c r="C350">
        <v>5880</v>
      </c>
      <c r="D350">
        <v>5056.7999999999993</v>
      </c>
      <c r="E350" s="1">
        <v>41609</v>
      </c>
      <c r="F350">
        <v>12</v>
      </c>
      <c r="G350" s="2" t="s">
        <v>12</v>
      </c>
      <c r="H350">
        <v>2013</v>
      </c>
      <c r="I350">
        <v>6703.2</v>
      </c>
      <c r="J350">
        <v>0</v>
      </c>
      <c r="K350">
        <f t="shared" si="28"/>
        <v>-0.67075647804903149</v>
      </c>
      <c r="L350" t="str">
        <f t="shared" si="29"/>
        <v>Normal</v>
      </c>
      <c r="M350">
        <f t="shared" si="30"/>
        <v>0</v>
      </c>
      <c r="N350" s="2" t="str">
        <f t="shared" si="31"/>
        <v>Normal</v>
      </c>
      <c r="O350" s="2">
        <f t="shared" si="32"/>
        <v>0</v>
      </c>
      <c r="P350" s="2" t="str">
        <f t="shared" si="33"/>
        <v>Normal</v>
      </c>
    </row>
    <row r="351" spans="1:16" x14ac:dyDescent="0.35">
      <c r="A351">
        <v>2725.38</v>
      </c>
      <c r="B351">
        <v>36208.620000000003</v>
      </c>
      <c r="C351">
        <v>9733.5</v>
      </c>
      <c r="D351">
        <v>26475.120000000003</v>
      </c>
      <c r="E351" s="1">
        <v>41640</v>
      </c>
      <c r="F351">
        <v>1</v>
      </c>
      <c r="G351" s="2" t="s">
        <v>10</v>
      </c>
      <c r="H351">
        <v>2014</v>
      </c>
      <c r="I351">
        <v>12458.880000000001</v>
      </c>
      <c r="J351">
        <v>0</v>
      </c>
      <c r="K351">
        <f t="shared" si="28"/>
        <v>-0.56392472487129019</v>
      </c>
      <c r="L351" t="str">
        <f t="shared" si="29"/>
        <v>Normal</v>
      </c>
      <c r="M351">
        <f t="shared" si="30"/>
        <v>0</v>
      </c>
      <c r="N351" s="2" t="str">
        <f t="shared" si="31"/>
        <v>Normal</v>
      </c>
      <c r="O351" s="2">
        <f t="shared" si="32"/>
        <v>0</v>
      </c>
      <c r="P351" s="2" t="str">
        <f t="shared" si="33"/>
        <v>Normal</v>
      </c>
    </row>
    <row r="352" spans="1:16" x14ac:dyDescent="0.35">
      <c r="A352">
        <v>20139</v>
      </c>
      <c r="B352">
        <v>267561</v>
      </c>
      <c r="C352">
        <v>239750</v>
      </c>
      <c r="D352">
        <v>27811</v>
      </c>
      <c r="E352" s="1">
        <v>41671</v>
      </c>
      <c r="F352">
        <v>2</v>
      </c>
      <c r="G352" s="2" t="s">
        <v>18</v>
      </c>
      <c r="H352">
        <v>2014</v>
      </c>
      <c r="I352">
        <v>259889</v>
      </c>
      <c r="J352">
        <v>0</v>
      </c>
      <c r="K352">
        <f t="shared" si="28"/>
        <v>0.41407291666157214</v>
      </c>
      <c r="L352" t="str">
        <f t="shared" si="29"/>
        <v>Normal</v>
      </c>
      <c r="M352">
        <f t="shared" si="30"/>
        <v>0</v>
      </c>
      <c r="N352" s="2" t="str">
        <f t="shared" si="31"/>
        <v>Normal</v>
      </c>
      <c r="O352" s="2">
        <f t="shared" si="32"/>
        <v>0</v>
      </c>
      <c r="P352" s="2" t="str">
        <f t="shared" si="33"/>
        <v>Normal</v>
      </c>
    </row>
    <row r="353" spans="1:16" x14ac:dyDescent="0.35">
      <c r="A353">
        <v>57687</v>
      </c>
      <c r="B353">
        <v>766413</v>
      </c>
      <c r="C353">
        <v>686750</v>
      </c>
      <c r="D353">
        <v>79663</v>
      </c>
      <c r="E353" s="1">
        <v>41671</v>
      </c>
      <c r="F353">
        <v>2</v>
      </c>
      <c r="G353" s="2" t="s">
        <v>18</v>
      </c>
      <c r="H353">
        <v>2014</v>
      </c>
      <c r="I353">
        <v>744437</v>
      </c>
      <c r="J353">
        <v>0</v>
      </c>
      <c r="K353">
        <f t="shared" si="28"/>
        <v>2.5228736969861636</v>
      </c>
      <c r="L353" t="str">
        <f t="shared" si="29"/>
        <v>Normal</v>
      </c>
      <c r="M353">
        <f t="shared" si="30"/>
        <v>0</v>
      </c>
      <c r="N353" s="2" t="str">
        <f t="shared" si="31"/>
        <v>Normal</v>
      </c>
      <c r="O353" s="2">
        <f t="shared" si="32"/>
        <v>0</v>
      </c>
      <c r="P353" s="2" t="str">
        <f t="shared" si="33"/>
        <v>Normal</v>
      </c>
    </row>
    <row r="354" spans="1:16" x14ac:dyDescent="0.35">
      <c r="A354">
        <v>14393.75</v>
      </c>
      <c r="B354">
        <v>191231.25</v>
      </c>
      <c r="C354">
        <v>197400</v>
      </c>
      <c r="D354">
        <v>-6168.75</v>
      </c>
      <c r="E354" s="1">
        <v>41760</v>
      </c>
      <c r="F354">
        <v>5</v>
      </c>
      <c r="G354" s="2" t="s">
        <v>21</v>
      </c>
      <c r="H354">
        <v>2014</v>
      </c>
      <c r="I354">
        <v>211793.75</v>
      </c>
      <c r="J354">
        <v>0</v>
      </c>
      <c r="K354">
        <f t="shared" si="28"/>
        <v>9.1403595175478108E-2</v>
      </c>
      <c r="L354" t="str">
        <f t="shared" si="29"/>
        <v>Normal</v>
      </c>
      <c r="M354">
        <f t="shared" si="30"/>
        <v>0</v>
      </c>
      <c r="N354" s="2" t="str">
        <f t="shared" si="31"/>
        <v>Normal</v>
      </c>
      <c r="O354" s="2">
        <f t="shared" si="32"/>
        <v>0</v>
      </c>
      <c r="P354" s="2" t="str">
        <f t="shared" si="33"/>
        <v>Normal</v>
      </c>
    </row>
    <row r="355" spans="1:16" x14ac:dyDescent="0.35">
      <c r="A355">
        <v>70462</v>
      </c>
      <c r="B355">
        <v>936138</v>
      </c>
      <c r="C355">
        <v>747760</v>
      </c>
      <c r="D355">
        <v>188378</v>
      </c>
      <c r="E355" s="1">
        <v>41883</v>
      </c>
      <c r="F355">
        <v>9</v>
      </c>
      <c r="G355" s="2" t="s">
        <v>16</v>
      </c>
      <c r="H355">
        <v>2014</v>
      </c>
      <c r="I355">
        <v>818222</v>
      </c>
      <c r="J355">
        <v>0</v>
      </c>
      <c r="K355">
        <f t="shared" si="28"/>
        <v>3.2403534553926474</v>
      </c>
      <c r="L355" t="str">
        <f t="shared" si="29"/>
        <v>Anomaly</v>
      </c>
      <c r="M355">
        <f t="shared" si="30"/>
        <v>0</v>
      </c>
      <c r="N355" s="2" t="str">
        <f t="shared" si="31"/>
        <v>Normal</v>
      </c>
      <c r="O355" s="2">
        <f t="shared" si="32"/>
        <v>0</v>
      </c>
      <c r="P355" s="2" t="str">
        <f t="shared" si="33"/>
        <v>Normal</v>
      </c>
    </row>
    <row r="356" spans="1:16" x14ac:dyDescent="0.35">
      <c r="A356">
        <v>8697.5</v>
      </c>
      <c r="B356">
        <v>115552.5</v>
      </c>
      <c r="C356">
        <v>119280</v>
      </c>
      <c r="D356">
        <v>-3727.5</v>
      </c>
      <c r="E356" s="1">
        <v>41518</v>
      </c>
      <c r="F356">
        <v>9</v>
      </c>
      <c r="G356" s="2" t="s">
        <v>16</v>
      </c>
      <c r="H356">
        <v>2013</v>
      </c>
      <c r="I356">
        <v>127977.5</v>
      </c>
      <c r="J356">
        <v>0</v>
      </c>
      <c r="K356">
        <f t="shared" si="28"/>
        <v>-0.22851374915508424</v>
      </c>
      <c r="L356" t="str">
        <f t="shared" si="29"/>
        <v>Normal</v>
      </c>
      <c r="M356">
        <f t="shared" si="30"/>
        <v>0</v>
      </c>
      <c r="N356" s="2" t="str">
        <f t="shared" si="31"/>
        <v>Normal</v>
      </c>
      <c r="O356" s="2">
        <f t="shared" si="32"/>
        <v>0</v>
      </c>
      <c r="P356" s="2" t="str">
        <f t="shared" si="33"/>
        <v>Normal</v>
      </c>
    </row>
    <row r="357" spans="1:16" x14ac:dyDescent="0.35">
      <c r="A357">
        <v>1565.2</v>
      </c>
      <c r="B357">
        <v>20794.8</v>
      </c>
      <c r="C357">
        <v>11180</v>
      </c>
      <c r="D357">
        <v>9614.7999999999993</v>
      </c>
      <c r="E357" s="1">
        <v>41944</v>
      </c>
      <c r="F357">
        <v>11</v>
      </c>
      <c r="G357" s="2" t="s">
        <v>19</v>
      </c>
      <c r="H357">
        <v>2014</v>
      </c>
      <c r="I357">
        <v>12745.2</v>
      </c>
      <c r="J357">
        <v>0</v>
      </c>
      <c r="K357">
        <f t="shared" si="28"/>
        <v>-0.62908368112240831</v>
      </c>
      <c r="L357" t="str">
        <f t="shared" si="29"/>
        <v>Normal</v>
      </c>
      <c r="M357">
        <f t="shared" si="30"/>
        <v>0</v>
      </c>
      <c r="N357" s="2" t="str">
        <f t="shared" si="31"/>
        <v>Normal</v>
      </c>
      <c r="O357" s="2">
        <f t="shared" si="32"/>
        <v>0</v>
      </c>
      <c r="P357" s="2" t="str">
        <f t="shared" si="33"/>
        <v>Normal</v>
      </c>
    </row>
    <row r="358" spans="1:16" x14ac:dyDescent="0.35">
      <c r="A358">
        <v>28812</v>
      </c>
      <c r="B358">
        <v>382788</v>
      </c>
      <c r="C358">
        <v>343000</v>
      </c>
      <c r="D358">
        <v>39788</v>
      </c>
      <c r="E358" s="1">
        <v>41974</v>
      </c>
      <c r="F358">
        <v>12</v>
      </c>
      <c r="G358" s="2" t="s">
        <v>12</v>
      </c>
      <c r="H358">
        <v>2014</v>
      </c>
      <c r="I358">
        <v>371812</v>
      </c>
      <c r="J358">
        <v>0</v>
      </c>
      <c r="K358">
        <f t="shared" si="28"/>
        <v>0.9011728731906864</v>
      </c>
      <c r="L358" t="str">
        <f t="shared" si="29"/>
        <v>Normal</v>
      </c>
      <c r="M358">
        <f t="shared" si="30"/>
        <v>0</v>
      </c>
      <c r="N358" s="2" t="str">
        <f t="shared" si="31"/>
        <v>Normal</v>
      </c>
      <c r="O358" s="2">
        <f t="shared" si="32"/>
        <v>0</v>
      </c>
      <c r="P358" s="2" t="str">
        <f t="shared" si="33"/>
        <v>Normal</v>
      </c>
    </row>
    <row r="359" spans="1:16" x14ac:dyDescent="0.35">
      <c r="A359">
        <v>273.27999999999997</v>
      </c>
      <c r="B359">
        <v>3142.7200000000003</v>
      </c>
      <c r="C359">
        <v>2440</v>
      </c>
      <c r="D359">
        <v>702.72000000000025</v>
      </c>
      <c r="E359" s="1">
        <v>41671</v>
      </c>
      <c r="F359">
        <v>2</v>
      </c>
      <c r="G359" s="2" t="s">
        <v>18</v>
      </c>
      <c r="H359">
        <v>2014</v>
      </c>
      <c r="I359">
        <v>2713.2799999999997</v>
      </c>
      <c r="J359">
        <v>0</v>
      </c>
      <c r="K359">
        <f t="shared" si="28"/>
        <v>-0.70370445056575448</v>
      </c>
      <c r="L359" t="str">
        <f t="shared" si="29"/>
        <v>Normal</v>
      </c>
      <c r="M359">
        <f t="shared" si="30"/>
        <v>0</v>
      </c>
      <c r="N359" s="2" t="str">
        <f t="shared" si="31"/>
        <v>Normal</v>
      </c>
      <c r="O359" s="2">
        <f t="shared" si="32"/>
        <v>0</v>
      </c>
      <c r="P359" s="2" t="str">
        <f t="shared" si="33"/>
        <v>Normal</v>
      </c>
    </row>
    <row r="360" spans="1:16" x14ac:dyDescent="0.35">
      <c r="A360">
        <v>2051.1999999999998</v>
      </c>
      <c r="B360">
        <v>23588.799999999999</v>
      </c>
      <c r="C360">
        <v>12820</v>
      </c>
      <c r="D360">
        <v>10768.8</v>
      </c>
      <c r="E360" s="1">
        <v>41791</v>
      </c>
      <c r="F360">
        <v>6</v>
      </c>
      <c r="G360" s="2" t="s">
        <v>11</v>
      </c>
      <c r="H360">
        <v>2014</v>
      </c>
      <c r="I360">
        <v>14871.2</v>
      </c>
      <c r="J360">
        <v>0</v>
      </c>
      <c r="K360">
        <f t="shared" si="28"/>
        <v>-0.61727258408315244</v>
      </c>
      <c r="L360" t="str">
        <f t="shared" si="29"/>
        <v>Normal</v>
      </c>
      <c r="M360">
        <f t="shared" si="30"/>
        <v>0</v>
      </c>
      <c r="N360" s="2" t="str">
        <f t="shared" si="31"/>
        <v>Normal</v>
      </c>
      <c r="O360" s="2">
        <f t="shared" si="32"/>
        <v>0</v>
      </c>
      <c r="P360" s="2" t="str">
        <f t="shared" si="33"/>
        <v>Normal</v>
      </c>
    </row>
    <row r="361" spans="1:16" x14ac:dyDescent="0.35">
      <c r="A361">
        <v>143.91999999999999</v>
      </c>
      <c r="B361">
        <v>1655.08</v>
      </c>
      <c r="C361">
        <v>1285</v>
      </c>
      <c r="D361">
        <v>370.07999999999993</v>
      </c>
      <c r="E361" s="1">
        <v>41760</v>
      </c>
      <c r="F361">
        <v>5</v>
      </c>
      <c r="G361" s="2" t="s">
        <v>21</v>
      </c>
      <c r="H361">
        <v>2014</v>
      </c>
      <c r="I361">
        <v>1428.92</v>
      </c>
      <c r="J361">
        <v>0</v>
      </c>
      <c r="K361">
        <f t="shared" si="28"/>
        <v>-0.70999316223342768</v>
      </c>
      <c r="L361" t="str">
        <f t="shared" si="29"/>
        <v>Normal</v>
      </c>
      <c r="M361">
        <f t="shared" si="30"/>
        <v>0</v>
      </c>
      <c r="N361" s="2" t="str">
        <f t="shared" si="31"/>
        <v>Normal</v>
      </c>
      <c r="O361" s="2">
        <f t="shared" si="32"/>
        <v>0</v>
      </c>
      <c r="P361" s="2" t="str">
        <f t="shared" si="33"/>
        <v>Normal</v>
      </c>
    </row>
    <row r="362" spans="1:16" x14ac:dyDescent="0.35">
      <c r="A362">
        <v>2051.1999999999998</v>
      </c>
      <c r="B362">
        <v>23588.799999999999</v>
      </c>
      <c r="C362">
        <v>12820</v>
      </c>
      <c r="D362">
        <v>10768.8</v>
      </c>
      <c r="E362" s="1">
        <v>41791</v>
      </c>
      <c r="F362">
        <v>6</v>
      </c>
      <c r="G362" s="2" t="s">
        <v>11</v>
      </c>
      <c r="H362">
        <v>2014</v>
      </c>
      <c r="I362">
        <v>14871.2</v>
      </c>
      <c r="J362">
        <v>0</v>
      </c>
      <c r="K362">
        <f t="shared" si="28"/>
        <v>-0.61727258408315244</v>
      </c>
      <c r="L362" t="str">
        <f t="shared" si="29"/>
        <v>Normal</v>
      </c>
      <c r="M362">
        <f t="shared" si="30"/>
        <v>0</v>
      </c>
      <c r="N362" s="2" t="str">
        <f t="shared" si="31"/>
        <v>Normal</v>
      </c>
      <c r="O362" s="2">
        <f t="shared" si="32"/>
        <v>0</v>
      </c>
      <c r="P362" s="2" t="str">
        <f t="shared" si="33"/>
        <v>Normal</v>
      </c>
    </row>
    <row r="363" spans="1:16" x14ac:dyDescent="0.35">
      <c r="A363">
        <v>15400</v>
      </c>
      <c r="B363">
        <v>177100</v>
      </c>
      <c r="C363">
        <v>184800</v>
      </c>
      <c r="D363">
        <v>-7700</v>
      </c>
      <c r="E363" s="1">
        <v>41852</v>
      </c>
      <c r="F363">
        <v>8</v>
      </c>
      <c r="G363" s="2" t="s">
        <v>15</v>
      </c>
      <c r="H363">
        <v>2014</v>
      </c>
      <c r="I363">
        <v>200200</v>
      </c>
      <c r="J363">
        <v>0</v>
      </c>
      <c r="K363">
        <f t="shared" si="28"/>
        <v>3.1666456651503298E-2</v>
      </c>
      <c r="L363" t="str">
        <f t="shared" si="29"/>
        <v>Normal</v>
      </c>
      <c r="M363">
        <f t="shared" si="30"/>
        <v>0</v>
      </c>
      <c r="N363" s="2" t="str">
        <f t="shared" si="31"/>
        <v>Normal</v>
      </c>
      <c r="O363" s="2">
        <f t="shared" si="32"/>
        <v>0</v>
      </c>
      <c r="P363" s="2" t="str">
        <f t="shared" si="33"/>
        <v>Normal</v>
      </c>
    </row>
    <row r="364" spans="1:16" x14ac:dyDescent="0.35">
      <c r="A364">
        <v>588</v>
      </c>
      <c r="B364">
        <v>6762</v>
      </c>
      <c r="C364">
        <v>4900</v>
      </c>
      <c r="D364">
        <v>1862</v>
      </c>
      <c r="E364" s="1">
        <v>41944</v>
      </c>
      <c r="F364">
        <v>11</v>
      </c>
      <c r="G364" s="2" t="s">
        <v>19</v>
      </c>
      <c r="H364">
        <v>2014</v>
      </c>
      <c r="I364">
        <v>5488</v>
      </c>
      <c r="J364">
        <v>0</v>
      </c>
      <c r="K364">
        <f t="shared" si="28"/>
        <v>-0.68840464122708644</v>
      </c>
      <c r="L364" t="str">
        <f t="shared" si="29"/>
        <v>Normal</v>
      </c>
      <c r="M364">
        <f t="shared" si="30"/>
        <v>0</v>
      </c>
      <c r="N364" s="2" t="str">
        <f t="shared" si="31"/>
        <v>Normal</v>
      </c>
      <c r="O364" s="2">
        <f t="shared" si="32"/>
        <v>0</v>
      </c>
      <c r="P364" s="2" t="str">
        <f t="shared" si="33"/>
        <v>Normal</v>
      </c>
    </row>
    <row r="365" spans="1:16" x14ac:dyDescent="0.35">
      <c r="A365">
        <v>38136</v>
      </c>
      <c r="B365">
        <v>438564</v>
      </c>
      <c r="C365">
        <v>354120</v>
      </c>
      <c r="D365">
        <v>84444</v>
      </c>
      <c r="E365" s="1">
        <v>41974</v>
      </c>
      <c r="F365">
        <v>12</v>
      </c>
      <c r="G365" s="2" t="s">
        <v>12</v>
      </c>
      <c r="H365">
        <v>2014</v>
      </c>
      <c r="I365">
        <v>392256</v>
      </c>
      <c r="J365">
        <v>0</v>
      </c>
      <c r="K365">
        <f t="shared" si="28"/>
        <v>1.1369551740001136</v>
      </c>
      <c r="L365" t="str">
        <f t="shared" si="29"/>
        <v>Normal</v>
      </c>
      <c r="M365">
        <f t="shared" si="30"/>
        <v>0</v>
      </c>
      <c r="N365" s="2" t="str">
        <f t="shared" si="31"/>
        <v>Normal</v>
      </c>
      <c r="O365" s="2">
        <f t="shared" si="32"/>
        <v>0</v>
      </c>
      <c r="P365" s="2" t="str">
        <f t="shared" si="33"/>
        <v>Normal</v>
      </c>
    </row>
    <row r="366" spans="1:16" x14ac:dyDescent="0.35">
      <c r="A366">
        <v>3001.2</v>
      </c>
      <c r="B366">
        <v>34513.800000000003</v>
      </c>
      <c r="C366">
        <v>25010</v>
      </c>
      <c r="D366">
        <v>9503.8000000000029</v>
      </c>
      <c r="E366" s="1">
        <v>41699</v>
      </c>
      <c r="F366">
        <v>3</v>
      </c>
      <c r="G366" s="2" t="s">
        <v>13</v>
      </c>
      <c r="H366">
        <v>2014</v>
      </c>
      <c r="I366">
        <v>28011.200000000001</v>
      </c>
      <c r="J366">
        <v>0</v>
      </c>
      <c r="K366">
        <f t="shared" si="28"/>
        <v>-0.57108925009823053</v>
      </c>
      <c r="L366" t="str">
        <f t="shared" si="29"/>
        <v>Normal</v>
      </c>
      <c r="M366">
        <f t="shared" si="30"/>
        <v>0</v>
      </c>
      <c r="N366" s="2" t="str">
        <f t="shared" si="31"/>
        <v>Normal</v>
      </c>
      <c r="O366" s="2">
        <f t="shared" si="32"/>
        <v>0</v>
      </c>
      <c r="P366" s="2" t="str">
        <f t="shared" si="33"/>
        <v>Normal</v>
      </c>
    </row>
    <row r="367" spans="1:16" x14ac:dyDescent="0.35">
      <c r="A367">
        <v>1132.8</v>
      </c>
      <c r="B367">
        <v>13027.2</v>
      </c>
      <c r="C367">
        <v>7080</v>
      </c>
      <c r="D367">
        <v>5947.2000000000007</v>
      </c>
      <c r="E367" s="1">
        <v>41791</v>
      </c>
      <c r="F367">
        <v>6</v>
      </c>
      <c r="G367" s="2" t="s">
        <v>11</v>
      </c>
      <c r="H367">
        <v>2014</v>
      </c>
      <c r="I367">
        <v>8212.7999999999993</v>
      </c>
      <c r="J367">
        <v>0</v>
      </c>
      <c r="K367">
        <f t="shared" si="28"/>
        <v>-0.66191971453762821</v>
      </c>
      <c r="L367" t="str">
        <f t="shared" si="29"/>
        <v>Normal</v>
      </c>
      <c r="M367">
        <f t="shared" si="30"/>
        <v>0</v>
      </c>
      <c r="N367" s="2" t="str">
        <f t="shared" si="31"/>
        <v>Normal</v>
      </c>
      <c r="O367" s="2">
        <f t="shared" si="32"/>
        <v>0</v>
      </c>
      <c r="P367" s="2" t="str">
        <f t="shared" si="33"/>
        <v>Normal</v>
      </c>
    </row>
    <row r="368" spans="1:16" x14ac:dyDescent="0.35">
      <c r="A368">
        <v>1032</v>
      </c>
      <c r="B368">
        <v>11868</v>
      </c>
      <c r="C368">
        <v>6450</v>
      </c>
      <c r="D368">
        <v>5418</v>
      </c>
      <c r="E368" s="1">
        <v>41821</v>
      </c>
      <c r="F368">
        <v>7</v>
      </c>
      <c r="G368" s="2" t="s">
        <v>14</v>
      </c>
      <c r="H368">
        <v>2014</v>
      </c>
      <c r="I368">
        <v>7482</v>
      </c>
      <c r="J368">
        <v>0</v>
      </c>
      <c r="K368">
        <f t="shared" si="28"/>
        <v>-0.6668200093436073</v>
      </c>
      <c r="L368" t="str">
        <f t="shared" si="29"/>
        <v>Normal</v>
      </c>
      <c r="M368">
        <f t="shared" si="30"/>
        <v>0</v>
      </c>
      <c r="N368" s="2" t="str">
        <f t="shared" si="31"/>
        <v>Normal</v>
      </c>
      <c r="O368" s="2">
        <f t="shared" si="32"/>
        <v>0</v>
      </c>
      <c r="P368" s="2" t="str">
        <f t="shared" si="33"/>
        <v>Normal</v>
      </c>
    </row>
    <row r="369" spans="1:16" x14ac:dyDescent="0.35">
      <c r="A369">
        <v>37488</v>
      </c>
      <c r="B369">
        <v>431112</v>
      </c>
      <c r="C369">
        <v>390500</v>
      </c>
      <c r="D369">
        <v>40612</v>
      </c>
      <c r="E369" s="1">
        <v>41852</v>
      </c>
      <c r="F369">
        <v>8</v>
      </c>
      <c r="G369" s="2" t="s">
        <v>15</v>
      </c>
      <c r="H369">
        <v>2014</v>
      </c>
      <c r="I369">
        <v>427988</v>
      </c>
      <c r="J369">
        <v>0</v>
      </c>
      <c r="K369">
        <f t="shared" si="28"/>
        <v>1.1054532788188198</v>
      </c>
      <c r="L369" t="str">
        <f t="shared" si="29"/>
        <v>Normal</v>
      </c>
      <c r="M369">
        <f t="shared" si="30"/>
        <v>0</v>
      </c>
      <c r="N369" s="2" t="str">
        <f t="shared" si="31"/>
        <v>Normal</v>
      </c>
      <c r="O369" s="2">
        <f t="shared" si="32"/>
        <v>0</v>
      </c>
      <c r="P369" s="2" t="str">
        <f t="shared" si="33"/>
        <v>Normal</v>
      </c>
    </row>
    <row r="370" spans="1:16" x14ac:dyDescent="0.35">
      <c r="A370">
        <v>30792</v>
      </c>
      <c r="B370">
        <v>354108</v>
      </c>
      <c r="C370">
        <v>320750</v>
      </c>
      <c r="D370">
        <v>33358</v>
      </c>
      <c r="E370" s="1">
        <v>41518</v>
      </c>
      <c r="F370">
        <v>9</v>
      </c>
      <c r="G370" s="2" t="s">
        <v>16</v>
      </c>
      <c r="H370">
        <v>2013</v>
      </c>
      <c r="I370">
        <v>351542</v>
      </c>
      <c r="J370">
        <v>0</v>
      </c>
      <c r="K370">
        <f t="shared" si="28"/>
        <v>0.77993369527878209</v>
      </c>
      <c r="L370" t="str">
        <f t="shared" si="29"/>
        <v>Normal</v>
      </c>
      <c r="M370">
        <f t="shared" si="30"/>
        <v>0</v>
      </c>
      <c r="N370" s="2" t="str">
        <f t="shared" si="31"/>
        <v>Normal</v>
      </c>
      <c r="O370" s="2">
        <f t="shared" si="32"/>
        <v>0</v>
      </c>
      <c r="P370" s="2" t="str">
        <f t="shared" si="33"/>
        <v>Normal</v>
      </c>
    </row>
    <row r="371" spans="1:16" x14ac:dyDescent="0.35">
      <c r="A371">
        <v>853.2</v>
      </c>
      <c r="B371">
        <v>9811.7999999999993</v>
      </c>
      <c r="C371">
        <v>7110</v>
      </c>
      <c r="D371">
        <v>2701.7999999999993</v>
      </c>
      <c r="E371" s="1">
        <v>41974</v>
      </c>
      <c r="F371">
        <v>12</v>
      </c>
      <c r="G371" s="2" t="s">
        <v>12</v>
      </c>
      <c r="H371">
        <v>2014</v>
      </c>
      <c r="I371">
        <v>7963.2</v>
      </c>
      <c r="J371">
        <v>0</v>
      </c>
      <c r="K371">
        <f t="shared" si="28"/>
        <v>-0.67551219893992731</v>
      </c>
      <c r="L371" t="str">
        <f t="shared" si="29"/>
        <v>Normal</v>
      </c>
      <c r="M371">
        <f t="shared" si="30"/>
        <v>0</v>
      </c>
      <c r="N371" s="2" t="str">
        <f t="shared" si="31"/>
        <v>Normal</v>
      </c>
      <c r="O371" s="2">
        <f t="shared" si="32"/>
        <v>0</v>
      </c>
      <c r="P371" s="2" t="str">
        <f t="shared" si="33"/>
        <v>Normal</v>
      </c>
    </row>
    <row r="372" spans="1:16" x14ac:dyDescent="0.35">
      <c r="A372">
        <v>11140</v>
      </c>
      <c r="B372">
        <v>128110</v>
      </c>
      <c r="C372">
        <v>133680</v>
      </c>
      <c r="D372">
        <v>-5570</v>
      </c>
      <c r="E372" s="1">
        <v>41699</v>
      </c>
      <c r="F372">
        <v>3</v>
      </c>
      <c r="G372" s="2" t="s">
        <v>13</v>
      </c>
      <c r="H372">
        <v>2014</v>
      </c>
      <c r="I372">
        <v>144820</v>
      </c>
      <c r="J372">
        <v>0</v>
      </c>
      <c r="K372">
        <f t="shared" si="28"/>
        <v>-0.17542933574404035</v>
      </c>
      <c r="L372" t="str">
        <f t="shared" si="29"/>
        <v>Normal</v>
      </c>
      <c r="M372">
        <f t="shared" si="30"/>
        <v>0</v>
      </c>
      <c r="N372" s="2" t="str">
        <f t="shared" si="31"/>
        <v>Normal</v>
      </c>
      <c r="O372" s="2">
        <f t="shared" si="32"/>
        <v>0</v>
      </c>
      <c r="P372" s="2" t="str">
        <f t="shared" si="33"/>
        <v>Normal</v>
      </c>
    </row>
    <row r="373" spans="1:16" x14ac:dyDescent="0.35">
      <c r="A373">
        <v>705.04</v>
      </c>
      <c r="B373">
        <v>8107.96</v>
      </c>
      <c r="C373">
        <v>6295</v>
      </c>
      <c r="D373">
        <v>1812.96</v>
      </c>
      <c r="E373" s="1">
        <v>41730</v>
      </c>
      <c r="F373">
        <v>4</v>
      </c>
      <c r="G373" s="2" t="s">
        <v>20</v>
      </c>
      <c r="H373">
        <v>2014</v>
      </c>
      <c r="I373">
        <v>7000.04</v>
      </c>
      <c r="J373">
        <v>0</v>
      </c>
      <c r="K373">
        <f t="shared" si="28"/>
        <v>-0.68271485448014413</v>
      </c>
      <c r="L373" t="str">
        <f t="shared" si="29"/>
        <v>Normal</v>
      </c>
      <c r="M373">
        <f t="shared" si="30"/>
        <v>0</v>
      </c>
      <c r="N373" s="2" t="str">
        <f t="shared" si="31"/>
        <v>Normal</v>
      </c>
      <c r="O373" s="2">
        <f t="shared" si="32"/>
        <v>0</v>
      </c>
      <c r="P373" s="2" t="str">
        <f t="shared" si="33"/>
        <v>Normal</v>
      </c>
    </row>
    <row r="374" spans="1:16" x14ac:dyDescent="0.35">
      <c r="A374">
        <v>613.20000000000005</v>
      </c>
      <c r="B374">
        <v>7051.8</v>
      </c>
      <c r="C374">
        <v>5475</v>
      </c>
      <c r="D374">
        <v>1576.8000000000002</v>
      </c>
      <c r="E374" s="1">
        <v>41760</v>
      </c>
      <c r="F374">
        <v>5</v>
      </c>
      <c r="G374" s="2" t="s">
        <v>21</v>
      </c>
      <c r="H374">
        <v>2014</v>
      </c>
      <c r="I374">
        <v>6088.2</v>
      </c>
      <c r="J374">
        <v>0</v>
      </c>
      <c r="K374">
        <f t="shared" si="28"/>
        <v>-0.68717956752559173</v>
      </c>
      <c r="L374" t="str">
        <f t="shared" si="29"/>
        <v>Normal</v>
      </c>
      <c r="M374">
        <f t="shared" si="30"/>
        <v>0</v>
      </c>
      <c r="N374" s="2" t="str">
        <f t="shared" si="31"/>
        <v>Normal</v>
      </c>
      <c r="O374" s="2">
        <f t="shared" si="32"/>
        <v>0</v>
      </c>
      <c r="P374" s="2" t="str">
        <f t="shared" si="33"/>
        <v>Normal</v>
      </c>
    </row>
    <row r="375" spans="1:16" x14ac:dyDescent="0.35">
      <c r="A375">
        <v>2185.6</v>
      </c>
      <c r="B375">
        <v>25134.400000000001</v>
      </c>
      <c r="C375">
        <v>13660</v>
      </c>
      <c r="D375">
        <v>11474.400000000001</v>
      </c>
      <c r="E375" s="1">
        <v>41791</v>
      </c>
      <c r="F375">
        <v>6</v>
      </c>
      <c r="G375" s="2" t="s">
        <v>11</v>
      </c>
      <c r="H375">
        <v>2014</v>
      </c>
      <c r="I375">
        <v>15845.6</v>
      </c>
      <c r="J375">
        <v>0</v>
      </c>
      <c r="K375">
        <f t="shared" si="28"/>
        <v>-0.61073885767518032</v>
      </c>
      <c r="L375" t="str">
        <f t="shared" si="29"/>
        <v>Normal</v>
      </c>
      <c r="M375">
        <f t="shared" si="30"/>
        <v>0</v>
      </c>
      <c r="N375" s="2" t="str">
        <f t="shared" si="31"/>
        <v>Normal</v>
      </c>
      <c r="O375" s="2">
        <f t="shared" si="32"/>
        <v>0</v>
      </c>
      <c r="P375" s="2" t="str">
        <f t="shared" si="33"/>
        <v>Normal</v>
      </c>
    </row>
    <row r="376" spans="1:16" x14ac:dyDescent="0.35">
      <c r="A376">
        <v>59040</v>
      </c>
      <c r="B376">
        <v>678960</v>
      </c>
      <c r="C376">
        <v>615000</v>
      </c>
      <c r="D376">
        <v>63960</v>
      </c>
      <c r="E376" s="1">
        <v>41791</v>
      </c>
      <c r="F376">
        <v>6</v>
      </c>
      <c r="G376" s="2" t="s">
        <v>11</v>
      </c>
      <c r="H376">
        <v>2014</v>
      </c>
      <c r="I376">
        <v>674040</v>
      </c>
      <c r="J376">
        <v>0</v>
      </c>
      <c r="K376">
        <f t="shared" si="28"/>
        <v>2.1531829778114857</v>
      </c>
      <c r="L376" t="str">
        <f t="shared" si="29"/>
        <v>Normal</v>
      </c>
      <c r="M376">
        <f t="shared" si="30"/>
        <v>0</v>
      </c>
      <c r="N376" s="2" t="str">
        <f t="shared" si="31"/>
        <v>Normal</v>
      </c>
      <c r="O376" s="2">
        <f t="shared" si="32"/>
        <v>0</v>
      </c>
      <c r="P376" s="2" t="str">
        <f t="shared" si="33"/>
        <v>Normal</v>
      </c>
    </row>
    <row r="377" spans="1:16" x14ac:dyDescent="0.35">
      <c r="A377">
        <v>379.68</v>
      </c>
      <c r="B377">
        <v>4366.32</v>
      </c>
      <c r="C377">
        <v>3390</v>
      </c>
      <c r="D377">
        <v>976.31999999999971</v>
      </c>
      <c r="E377" s="1">
        <v>41852</v>
      </c>
      <c r="F377">
        <v>8</v>
      </c>
      <c r="G377" s="2" t="s">
        <v>15</v>
      </c>
      <c r="H377">
        <v>2014</v>
      </c>
      <c r="I377">
        <v>3769.68</v>
      </c>
      <c r="J377">
        <v>0</v>
      </c>
      <c r="K377">
        <f t="shared" si="28"/>
        <v>-0.69853191715944318</v>
      </c>
      <c r="L377" t="str">
        <f t="shared" si="29"/>
        <v>Normal</v>
      </c>
      <c r="M377">
        <f t="shared" si="30"/>
        <v>0</v>
      </c>
      <c r="N377" s="2" t="str">
        <f t="shared" si="31"/>
        <v>Normal</v>
      </c>
      <c r="O377" s="2">
        <f t="shared" si="32"/>
        <v>0</v>
      </c>
      <c r="P377" s="2" t="str">
        <f t="shared" si="33"/>
        <v>Normal</v>
      </c>
    </row>
    <row r="378" spans="1:16" x14ac:dyDescent="0.35">
      <c r="A378">
        <v>894.88</v>
      </c>
      <c r="B378">
        <v>10291.120000000001</v>
      </c>
      <c r="C378">
        <v>7990</v>
      </c>
      <c r="D378">
        <v>2301.1200000000008</v>
      </c>
      <c r="E378" s="1">
        <v>41852</v>
      </c>
      <c r="F378">
        <v>8</v>
      </c>
      <c r="G378" s="2" t="s">
        <v>15</v>
      </c>
      <c r="H378">
        <v>2014</v>
      </c>
      <c r="I378">
        <v>8884.8799999999992</v>
      </c>
      <c r="J378">
        <v>0</v>
      </c>
      <c r="K378">
        <f t="shared" si="28"/>
        <v>-0.67348596592888355</v>
      </c>
      <c r="L378" t="str">
        <f t="shared" si="29"/>
        <v>Normal</v>
      </c>
      <c r="M378">
        <f t="shared" si="30"/>
        <v>0</v>
      </c>
      <c r="N378" s="2" t="str">
        <f t="shared" si="31"/>
        <v>Normal</v>
      </c>
      <c r="O378" s="2">
        <f t="shared" si="32"/>
        <v>0</v>
      </c>
      <c r="P378" s="2" t="str">
        <f t="shared" si="33"/>
        <v>Normal</v>
      </c>
    </row>
    <row r="379" spans="1:16" x14ac:dyDescent="0.35">
      <c r="A379">
        <v>1349.04</v>
      </c>
      <c r="B379">
        <v>15513.96</v>
      </c>
      <c r="C379">
        <v>12045</v>
      </c>
      <c r="D379">
        <v>3468.9599999999991</v>
      </c>
      <c r="E379" s="1">
        <v>41518</v>
      </c>
      <c r="F379">
        <v>9</v>
      </c>
      <c r="G379" s="2" t="s">
        <v>16</v>
      </c>
      <c r="H379">
        <v>2013</v>
      </c>
      <c r="I379">
        <v>13394.04</v>
      </c>
      <c r="J379">
        <v>0</v>
      </c>
      <c r="K379">
        <f t="shared" si="28"/>
        <v>-0.65140741544194458</v>
      </c>
      <c r="L379" t="str">
        <f t="shared" si="29"/>
        <v>Normal</v>
      </c>
      <c r="M379">
        <f t="shared" si="30"/>
        <v>0</v>
      </c>
      <c r="N379" s="2" t="str">
        <f t="shared" si="31"/>
        <v>Normal</v>
      </c>
      <c r="O379" s="2">
        <f t="shared" si="32"/>
        <v>0</v>
      </c>
      <c r="P379" s="2" t="str">
        <f t="shared" si="33"/>
        <v>Normal</v>
      </c>
    </row>
    <row r="380" spans="1:16" x14ac:dyDescent="0.35">
      <c r="A380">
        <v>3094.4</v>
      </c>
      <c r="B380">
        <v>35585.599999999999</v>
      </c>
      <c r="C380">
        <v>19340</v>
      </c>
      <c r="D380">
        <v>16245.599999999999</v>
      </c>
      <c r="E380" s="1">
        <v>41883</v>
      </c>
      <c r="F380">
        <v>9</v>
      </c>
      <c r="G380" s="2" t="s">
        <v>16</v>
      </c>
      <c r="H380">
        <v>2014</v>
      </c>
      <c r="I380">
        <v>22434.400000000001</v>
      </c>
      <c r="J380">
        <v>0</v>
      </c>
      <c r="K380">
        <f t="shared" si="28"/>
        <v>-0.56655842196413098</v>
      </c>
      <c r="L380" t="str">
        <f t="shared" si="29"/>
        <v>Normal</v>
      </c>
      <c r="M380">
        <f t="shared" si="30"/>
        <v>0</v>
      </c>
      <c r="N380" s="2" t="str">
        <f t="shared" si="31"/>
        <v>Normal</v>
      </c>
      <c r="O380" s="2">
        <f t="shared" si="32"/>
        <v>0</v>
      </c>
      <c r="P380" s="2" t="str">
        <f t="shared" si="33"/>
        <v>Normal</v>
      </c>
    </row>
    <row r="381" spans="1:16" x14ac:dyDescent="0.35">
      <c r="A381">
        <v>4788.8</v>
      </c>
      <c r="B381">
        <v>55071.199999999997</v>
      </c>
      <c r="C381">
        <v>29930</v>
      </c>
      <c r="D381">
        <v>25141.199999999997</v>
      </c>
      <c r="E381" s="1">
        <v>41883</v>
      </c>
      <c r="F381">
        <v>9</v>
      </c>
      <c r="G381" s="2" t="s">
        <v>16</v>
      </c>
      <c r="H381">
        <v>2014</v>
      </c>
      <c r="I381">
        <v>34718.800000000003</v>
      </c>
      <c r="J381">
        <v>0</v>
      </c>
      <c r="K381">
        <f t="shared" si="28"/>
        <v>-0.48418679974934009</v>
      </c>
      <c r="L381" t="str">
        <f t="shared" si="29"/>
        <v>Normal</v>
      </c>
      <c r="M381">
        <f t="shared" si="30"/>
        <v>0</v>
      </c>
      <c r="N381" s="2" t="str">
        <f t="shared" si="31"/>
        <v>Normal</v>
      </c>
      <c r="O381" s="2">
        <f t="shared" si="32"/>
        <v>0</v>
      </c>
      <c r="P381" s="2" t="str">
        <f t="shared" si="33"/>
        <v>Normal</v>
      </c>
    </row>
    <row r="382" spans="1:16" x14ac:dyDescent="0.35">
      <c r="A382">
        <v>60088</v>
      </c>
      <c r="B382">
        <v>691012</v>
      </c>
      <c r="C382">
        <v>557960</v>
      </c>
      <c r="D382">
        <v>133052</v>
      </c>
      <c r="E382" s="1">
        <v>41579</v>
      </c>
      <c r="F382">
        <v>11</v>
      </c>
      <c r="G382" s="2" t="s">
        <v>19</v>
      </c>
      <c r="H382">
        <v>2013</v>
      </c>
      <c r="I382">
        <v>618048</v>
      </c>
      <c r="J382">
        <v>0</v>
      </c>
      <c r="K382">
        <f t="shared" si="28"/>
        <v>2.2041304873022201</v>
      </c>
      <c r="L382" t="str">
        <f t="shared" si="29"/>
        <v>Normal</v>
      </c>
      <c r="M382">
        <f t="shared" si="30"/>
        <v>0</v>
      </c>
      <c r="N382" s="2" t="str">
        <f t="shared" si="31"/>
        <v>Normal</v>
      </c>
      <c r="O382" s="2">
        <f t="shared" si="32"/>
        <v>0</v>
      </c>
      <c r="P382" s="2" t="str">
        <f t="shared" si="33"/>
        <v>Normal</v>
      </c>
    </row>
    <row r="383" spans="1:16" x14ac:dyDescent="0.35">
      <c r="A383">
        <v>1089.76</v>
      </c>
      <c r="B383">
        <v>12532.24</v>
      </c>
      <c r="C383">
        <v>9730</v>
      </c>
      <c r="D383">
        <v>2802.24</v>
      </c>
      <c r="E383" s="1">
        <v>41609</v>
      </c>
      <c r="F383">
        <v>12</v>
      </c>
      <c r="G383" s="2" t="s">
        <v>12</v>
      </c>
      <c r="H383">
        <v>2013</v>
      </c>
      <c r="I383">
        <v>10819.76</v>
      </c>
      <c r="J383">
        <v>0</v>
      </c>
      <c r="K383">
        <f t="shared" si="28"/>
        <v>-0.66401206263732415</v>
      </c>
      <c r="L383" t="str">
        <f t="shared" si="29"/>
        <v>Normal</v>
      </c>
      <c r="M383">
        <f t="shared" si="30"/>
        <v>0</v>
      </c>
      <c r="N383" s="2" t="str">
        <f t="shared" si="31"/>
        <v>Normal</v>
      </c>
      <c r="O383" s="2">
        <f t="shared" si="32"/>
        <v>0</v>
      </c>
      <c r="P383" s="2" t="str">
        <f t="shared" si="33"/>
        <v>Normal</v>
      </c>
    </row>
    <row r="384" spans="1:16" x14ac:dyDescent="0.35">
      <c r="A384">
        <v>38136</v>
      </c>
      <c r="B384">
        <v>438564</v>
      </c>
      <c r="C384">
        <v>354120</v>
      </c>
      <c r="D384">
        <v>84444</v>
      </c>
      <c r="E384" s="1">
        <v>41974</v>
      </c>
      <c r="F384">
        <v>12</v>
      </c>
      <c r="G384" s="2" t="s">
        <v>12</v>
      </c>
      <c r="H384">
        <v>2014</v>
      </c>
      <c r="I384">
        <v>392256</v>
      </c>
      <c r="J384">
        <v>0</v>
      </c>
      <c r="K384">
        <f t="shared" si="28"/>
        <v>1.1369551740001136</v>
      </c>
      <c r="L384" t="str">
        <f t="shared" si="29"/>
        <v>Normal</v>
      </c>
      <c r="M384">
        <f t="shared" si="30"/>
        <v>0</v>
      </c>
      <c r="N384" s="2" t="str">
        <f t="shared" si="31"/>
        <v>Normal</v>
      </c>
      <c r="O384" s="2">
        <f t="shared" si="32"/>
        <v>0</v>
      </c>
      <c r="P384" s="2" t="str">
        <f t="shared" si="33"/>
        <v>Normal</v>
      </c>
    </row>
    <row r="385" spans="1:16" x14ac:dyDescent="0.35">
      <c r="A385">
        <v>574.08000000000004</v>
      </c>
      <c r="B385">
        <v>6601.92</v>
      </c>
      <c r="C385">
        <v>1794</v>
      </c>
      <c r="D385">
        <v>4807.92</v>
      </c>
      <c r="E385" s="1">
        <v>41699</v>
      </c>
      <c r="F385">
        <v>3</v>
      </c>
      <c r="G385" s="2" t="s">
        <v>13</v>
      </c>
      <c r="H385">
        <v>2014</v>
      </c>
      <c r="I385">
        <v>2368.08</v>
      </c>
      <c r="J385">
        <v>0</v>
      </c>
      <c r="K385">
        <f t="shared" si="28"/>
        <v>-0.68908134860505499</v>
      </c>
      <c r="L385" t="str">
        <f t="shared" si="29"/>
        <v>Normal</v>
      </c>
      <c r="M385">
        <f t="shared" si="30"/>
        <v>0</v>
      </c>
      <c r="N385" s="2" t="str">
        <f t="shared" si="31"/>
        <v>Normal</v>
      </c>
      <c r="O385" s="2">
        <f t="shared" si="32"/>
        <v>0</v>
      </c>
      <c r="P385" s="2" t="str">
        <f t="shared" si="33"/>
        <v>Normal</v>
      </c>
    </row>
    <row r="386" spans="1:16" x14ac:dyDescent="0.35">
      <c r="A386">
        <v>1627.92</v>
      </c>
      <c r="B386">
        <v>18721.080000000002</v>
      </c>
      <c r="C386">
        <v>14535</v>
      </c>
      <c r="D386">
        <v>4186.0800000000017</v>
      </c>
      <c r="E386" s="1">
        <v>41791</v>
      </c>
      <c r="F386">
        <v>6</v>
      </c>
      <c r="G386" s="2" t="s">
        <v>11</v>
      </c>
      <c r="H386">
        <v>2014</v>
      </c>
      <c r="I386">
        <v>16162.92</v>
      </c>
      <c r="J386">
        <v>0</v>
      </c>
      <c r="K386">
        <f t="shared" ref="K386:K449" si="34">(B386 - $U$2) / $U$3</f>
        <v>-0.63784993314540261</v>
      </c>
      <c r="L386" t="str">
        <f t="shared" ref="L386:L449" si="35">IF(ABS(K386) &gt; 3, "Anomaly", "Normal")</f>
        <v>Normal</v>
      </c>
      <c r="M386">
        <f t="shared" ref="M386:M449" si="36">IFERROR((I386-$S$6)/$S$7,0)</f>
        <v>0</v>
      </c>
      <c r="N386" s="2" t="str">
        <f t="shared" ref="N386:N449" si="37">IF(ABS(M386) &gt; 3, "Anomaly", "Normal")</f>
        <v>Normal</v>
      </c>
      <c r="O386" s="2">
        <f t="shared" ref="O386:O449" si="38">IFERROR((J386-$Q$2)/$Q$3,0)</f>
        <v>0</v>
      </c>
      <c r="P386" s="2" t="str">
        <f t="shared" ref="P386:P449" si="39">IF(ABS(O386)&gt;3,"Anomaly","Normal")</f>
        <v>Normal</v>
      </c>
    </row>
    <row r="387" spans="1:16" x14ac:dyDescent="0.35">
      <c r="A387">
        <v>1309.28</v>
      </c>
      <c r="B387">
        <v>15056.72</v>
      </c>
      <c r="C387">
        <v>11690</v>
      </c>
      <c r="D387">
        <v>3366.7199999999993</v>
      </c>
      <c r="E387" s="1">
        <v>41791</v>
      </c>
      <c r="F387">
        <v>6</v>
      </c>
      <c r="G387" s="2" t="s">
        <v>11</v>
      </c>
      <c r="H387">
        <v>2014</v>
      </c>
      <c r="I387">
        <v>12999.28</v>
      </c>
      <c r="J387">
        <v>0</v>
      </c>
      <c r="K387">
        <f t="shared" si="34"/>
        <v>-0.653340309504303</v>
      </c>
      <c r="L387" t="str">
        <f t="shared" si="35"/>
        <v>Normal</v>
      </c>
      <c r="M387">
        <f t="shared" si="36"/>
        <v>0</v>
      </c>
      <c r="N387" s="2" t="str">
        <f t="shared" si="37"/>
        <v>Normal</v>
      </c>
      <c r="O387" s="2">
        <f t="shared" si="38"/>
        <v>0</v>
      </c>
      <c r="P387" s="2" t="str">
        <f t="shared" si="39"/>
        <v>Normal</v>
      </c>
    </row>
    <row r="388" spans="1:16" x14ac:dyDescent="0.35">
      <c r="A388">
        <v>9264</v>
      </c>
      <c r="B388">
        <v>106536</v>
      </c>
      <c r="C388">
        <v>96500</v>
      </c>
      <c r="D388">
        <v>10036</v>
      </c>
      <c r="E388" s="1">
        <v>41579</v>
      </c>
      <c r="F388">
        <v>11</v>
      </c>
      <c r="G388" s="2" t="s">
        <v>19</v>
      </c>
      <c r="H388">
        <v>2013</v>
      </c>
      <c r="I388">
        <v>105764</v>
      </c>
      <c r="J388">
        <v>0</v>
      </c>
      <c r="K388">
        <f t="shared" si="34"/>
        <v>-0.26662926685531729</v>
      </c>
      <c r="L388" t="str">
        <f t="shared" si="35"/>
        <v>Normal</v>
      </c>
      <c r="M388">
        <f t="shared" si="36"/>
        <v>0</v>
      </c>
      <c r="N388" s="2" t="str">
        <f t="shared" si="37"/>
        <v>Normal</v>
      </c>
      <c r="O388" s="2">
        <f t="shared" si="38"/>
        <v>0</v>
      </c>
      <c r="P388" s="2" t="str">
        <f t="shared" si="39"/>
        <v>Normal</v>
      </c>
    </row>
    <row r="389" spans="1:16" x14ac:dyDescent="0.35">
      <c r="A389">
        <v>15240</v>
      </c>
      <c r="B389">
        <v>175260</v>
      </c>
      <c r="C389">
        <v>158750</v>
      </c>
      <c r="D389">
        <v>16510</v>
      </c>
      <c r="E389" s="1">
        <v>41974</v>
      </c>
      <c r="F389">
        <v>12</v>
      </c>
      <c r="G389" s="2" t="s">
        <v>12</v>
      </c>
      <c r="H389">
        <v>2014</v>
      </c>
      <c r="I389">
        <v>173990</v>
      </c>
      <c r="J389">
        <v>0</v>
      </c>
      <c r="K389">
        <f t="shared" si="34"/>
        <v>2.388821092772701E-2</v>
      </c>
      <c r="L389" t="str">
        <f t="shared" si="35"/>
        <v>Normal</v>
      </c>
      <c r="M389">
        <f t="shared" si="36"/>
        <v>0</v>
      </c>
      <c r="N389" s="2" t="str">
        <f t="shared" si="37"/>
        <v>Normal</v>
      </c>
      <c r="O389" s="2">
        <f t="shared" si="38"/>
        <v>0</v>
      </c>
      <c r="P389" s="2" t="str">
        <f t="shared" si="39"/>
        <v>Normal</v>
      </c>
    </row>
    <row r="390" spans="1:16" x14ac:dyDescent="0.35">
      <c r="A390">
        <v>16086</v>
      </c>
      <c r="B390">
        <v>184989</v>
      </c>
      <c r="C390">
        <v>149370</v>
      </c>
      <c r="D390">
        <v>35619</v>
      </c>
      <c r="E390" s="1">
        <v>41730</v>
      </c>
      <c r="F390">
        <v>4</v>
      </c>
      <c r="G390" s="2" t="s">
        <v>20</v>
      </c>
      <c r="H390">
        <v>2014</v>
      </c>
      <c r="I390">
        <v>165456</v>
      </c>
      <c r="J390">
        <v>0</v>
      </c>
      <c r="K390">
        <f t="shared" si="34"/>
        <v>6.5015685192194125E-2</v>
      </c>
      <c r="L390" t="str">
        <f t="shared" si="35"/>
        <v>Normal</v>
      </c>
      <c r="M390">
        <f t="shared" si="36"/>
        <v>0</v>
      </c>
      <c r="N390" s="2" t="str">
        <f t="shared" si="37"/>
        <v>Normal</v>
      </c>
      <c r="O390" s="2">
        <f t="shared" si="38"/>
        <v>0</v>
      </c>
      <c r="P390" s="2" t="str">
        <f t="shared" si="39"/>
        <v>Normal</v>
      </c>
    </row>
    <row r="391" spans="1:16" x14ac:dyDescent="0.35">
      <c r="A391">
        <v>1309.28</v>
      </c>
      <c r="B391">
        <v>15056.72</v>
      </c>
      <c r="C391">
        <v>11690</v>
      </c>
      <c r="D391">
        <v>3366.7199999999993</v>
      </c>
      <c r="E391" s="1">
        <v>41791</v>
      </c>
      <c r="F391">
        <v>6</v>
      </c>
      <c r="G391" s="2" t="s">
        <v>11</v>
      </c>
      <c r="H391">
        <v>2014</v>
      </c>
      <c r="I391">
        <v>12999.28</v>
      </c>
      <c r="J391">
        <v>0</v>
      </c>
      <c r="K391">
        <f t="shared" si="34"/>
        <v>-0.653340309504303</v>
      </c>
      <c r="L391" t="str">
        <f t="shared" si="35"/>
        <v>Normal</v>
      </c>
      <c r="M391">
        <f t="shared" si="36"/>
        <v>0</v>
      </c>
      <c r="N391" s="2" t="str">
        <f t="shared" si="37"/>
        <v>Normal</v>
      </c>
      <c r="O391" s="2">
        <f t="shared" si="38"/>
        <v>0</v>
      </c>
      <c r="P391" s="2" t="str">
        <f t="shared" si="39"/>
        <v>Normal</v>
      </c>
    </row>
    <row r="392" spans="1:16" x14ac:dyDescent="0.35">
      <c r="A392">
        <v>10668</v>
      </c>
      <c r="B392">
        <v>122682</v>
      </c>
      <c r="C392">
        <v>99060</v>
      </c>
      <c r="D392">
        <v>23622</v>
      </c>
      <c r="E392" s="1">
        <v>41852</v>
      </c>
      <c r="F392">
        <v>8</v>
      </c>
      <c r="G392" s="2" t="s">
        <v>15</v>
      </c>
      <c r="H392">
        <v>2014</v>
      </c>
      <c r="I392">
        <v>109728</v>
      </c>
      <c r="J392">
        <v>0</v>
      </c>
      <c r="K392">
        <f t="shared" si="34"/>
        <v>-0.1983751606291804</v>
      </c>
      <c r="L392" t="str">
        <f t="shared" si="35"/>
        <v>Normal</v>
      </c>
      <c r="M392">
        <f t="shared" si="36"/>
        <v>0</v>
      </c>
      <c r="N392" s="2" t="str">
        <f t="shared" si="37"/>
        <v>Normal</v>
      </c>
      <c r="O392" s="2">
        <f t="shared" si="38"/>
        <v>0</v>
      </c>
      <c r="P392" s="2" t="str">
        <f t="shared" si="39"/>
        <v>Normal</v>
      </c>
    </row>
    <row r="393" spans="1:16" x14ac:dyDescent="0.35">
      <c r="A393">
        <v>11816</v>
      </c>
      <c r="B393">
        <v>135884</v>
      </c>
      <c r="C393">
        <v>109720</v>
      </c>
      <c r="D393">
        <v>26164</v>
      </c>
      <c r="E393" s="1">
        <v>41852</v>
      </c>
      <c r="F393">
        <v>8</v>
      </c>
      <c r="G393" s="2" t="s">
        <v>15</v>
      </c>
      <c r="H393">
        <v>2014</v>
      </c>
      <c r="I393">
        <v>121536</v>
      </c>
      <c r="J393">
        <v>0</v>
      </c>
      <c r="K393">
        <f t="shared" si="34"/>
        <v>-0.14256624756108555</v>
      </c>
      <c r="L393" t="str">
        <f t="shared" si="35"/>
        <v>Normal</v>
      </c>
      <c r="M393">
        <f t="shared" si="36"/>
        <v>0</v>
      </c>
      <c r="N393" s="2" t="str">
        <f t="shared" si="37"/>
        <v>Normal</v>
      </c>
      <c r="O393" s="2">
        <f t="shared" si="38"/>
        <v>0</v>
      </c>
      <c r="P393" s="2" t="str">
        <f t="shared" si="39"/>
        <v>Normal</v>
      </c>
    </row>
    <row r="394" spans="1:16" x14ac:dyDescent="0.35">
      <c r="A394">
        <v>51216</v>
      </c>
      <c r="B394">
        <v>588984</v>
      </c>
      <c r="C394">
        <v>533500</v>
      </c>
      <c r="D394">
        <v>55484</v>
      </c>
      <c r="E394" s="1">
        <v>41883</v>
      </c>
      <c r="F394">
        <v>9</v>
      </c>
      <c r="G394" s="2" t="s">
        <v>16</v>
      </c>
      <c r="H394">
        <v>2014</v>
      </c>
      <c r="I394">
        <v>584716</v>
      </c>
      <c r="J394">
        <v>0</v>
      </c>
      <c r="K394">
        <f t="shared" si="34"/>
        <v>1.7728267619188252</v>
      </c>
      <c r="L394" t="str">
        <f t="shared" si="35"/>
        <v>Normal</v>
      </c>
      <c r="M394">
        <f t="shared" si="36"/>
        <v>0</v>
      </c>
      <c r="N394" s="2" t="str">
        <f t="shared" si="37"/>
        <v>Normal</v>
      </c>
      <c r="O394" s="2">
        <f t="shared" si="38"/>
        <v>0</v>
      </c>
      <c r="P394" s="2" t="str">
        <f t="shared" si="39"/>
        <v>Normal</v>
      </c>
    </row>
    <row r="395" spans="1:16" x14ac:dyDescent="0.35">
      <c r="A395">
        <v>19392</v>
      </c>
      <c r="B395">
        <v>223008</v>
      </c>
      <c r="C395">
        <v>202000</v>
      </c>
      <c r="D395">
        <v>21008</v>
      </c>
      <c r="E395" s="1">
        <v>41609</v>
      </c>
      <c r="F395">
        <v>12</v>
      </c>
      <c r="G395" s="2" t="s">
        <v>12</v>
      </c>
      <c r="H395">
        <v>2013</v>
      </c>
      <c r="I395">
        <v>221392</v>
      </c>
      <c r="J395">
        <v>0</v>
      </c>
      <c r="K395">
        <f t="shared" si="34"/>
        <v>0.22573368745972167</v>
      </c>
      <c r="L395" t="str">
        <f t="shared" si="35"/>
        <v>Normal</v>
      </c>
      <c r="M395">
        <f t="shared" si="36"/>
        <v>0</v>
      </c>
      <c r="N395" s="2" t="str">
        <f t="shared" si="37"/>
        <v>Normal</v>
      </c>
      <c r="O395" s="2">
        <f t="shared" si="38"/>
        <v>0</v>
      </c>
      <c r="P395" s="2" t="str">
        <f t="shared" si="39"/>
        <v>Normal</v>
      </c>
    </row>
    <row r="396" spans="1:16" x14ac:dyDescent="0.35">
      <c r="A396">
        <v>1132.8</v>
      </c>
      <c r="B396">
        <v>13027.2</v>
      </c>
      <c r="C396">
        <v>7080</v>
      </c>
      <c r="D396">
        <v>5947.2000000000007</v>
      </c>
      <c r="E396" s="1">
        <v>41791</v>
      </c>
      <c r="F396">
        <v>6</v>
      </c>
      <c r="G396" s="2" t="s">
        <v>11</v>
      </c>
      <c r="H396">
        <v>2014</v>
      </c>
      <c r="I396">
        <v>8212.7999999999993</v>
      </c>
      <c r="J396">
        <v>0</v>
      </c>
      <c r="K396">
        <f t="shared" si="34"/>
        <v>-0.66191971453762821</v>
      </c>
      <c r="L396" t="str">
        <f t="shared" si="35"/>
        <v>Normal</v>
      </c>
      <c r="M396">
        <f t="shared" si="36"/>
        <v>0</v>
      </c>
      <c r="N396" s="2" t="str">
        <f t="shared" si="37"/>
        <v>Normal</v>
      </c>
      <c r="O396" s="2">
        <f t="shared" si="38"/>
        <v>0</v>
      </c>
      <c r="P396" s="2" t="str">
        <f t="shared" si="39"/>
        <v>Normal</v>
      </c>
    </row>
    <row r="397" spans="1:16" x14ac:dyDescent="0.35">
      <c r="A397">
        <v>1627.92</v>
      </c>
      <c r="B397">
        <v>18721.080000000002</v>
      </c>
      <c r="C397">
        <v>14535</v>
      </c>
      <c r="D397">
        <v>4186.0800000000017</v>
      </c>
      <c r="E397" s="1">
        <v>41791</v>
      </c>
      <c r="F397">
        <v>6</v>
      </c>
      <c r="G397" s="2" t="s">
        <v>11</v>
      </c>
      <c r="H397">
        <v>2014</v>
      </c>
      <c r="I397">
        <v>16162.92</v>
      </c>
      <c r="J397">
        <v>0</v>
      </c>
      <c r="K397">
        <f t="shared" si="34"/>
        <v>-0.63784993314540261</v>
      </c>
      <c r="L397" t="str">
        <f t="shared" si="35"/>
        <v>Normal</v>
      </c>
      <c r="M397">
        <f t="shared" si="36"/>
        <v>0</v>
      </c>
      <c r="N397" s="2" t="str">
        <f t="shared" si="37"/>
        <v>Normal</v>
      </c>
      <c r="O397" s="2">
        <f t="shared" si="38"/>
        <v>0</v>
      </c>
      <c r="P397" s="2" t="str">
        <f t="shared" si="39"/>
        <v>Normal</v>
      </c>
    </row>
    <row r="398" spans="1:16" x14ac:dyDescent="0.35">
      <c r="A398">
        <v>2185.6</v>
      </c>
      <c r="B398">
        <v>25134.400000000001</v>
      </c>
      <c r="C398">
        <v>13660</v>
      </c>
      <c r="D398">
        <v>11474.400000000001</v>
      </c>
      <c r="E398" s="1">
        <v>41791</v>
      </c>
      <c r="F398">
        <v>6</v>
      </c>
      <c r="G398" s="2" t="s">
        <v>11</v>
      </c>
      <c r="H398">
        <v>2014</v>
      </c>
      <c r="I398">
        <v>15845.6</v>
      </c>
      <c r="J398">
        <v>0</v>
      </c>
      <c r="K398">
        <f t="shared" si="34"/>
        <v>-0.61073885767518032</v>
      </c>
      <c r="L398" t="str">
        <f t="shared" si="35"/>
        <v>Normal</v>
      </c>
      <c r="M398">
        <f t="shared" si="36"/>
        <v>0</v>
      </c>
      <c r="N398" s="2" t="str">
        <f t="shared" si="37"/>
        <v>Normal</v>
      </c>
      <c r="O398" s="2">
        <f t="shared" si="38"/>
        <v>0</v>
      </c>
      <c r="P398" s="2" t="str">
        <f t="shared" si="39"/>
        <v>Normal</v>
      </c>
    </row>
    <row r="399" spans="1:16" x14ac:dyDescent="0.35">
      <c r="A399">
        <v>59040</v>
      </c>
      <c r="B399">
        <v>678960</v>
      </c>
      <c r="C399">
        <v>615000</v>
      </c>
      <c r="D399">
        <v>63960</v>
      </c>
      <c r="E399" s="1">
        <v>41791</v>
      </c>
      <c r="F399">
        <v>6</v>
      </c>
      <c r="G399" s="2" t="s">
        <v>11</v>
      </c>
      <c r="H399">
        <v>2014</v>
      </c>
      <c r="I399">
        <v>674040</v>
      </c>
      <c r="J399">
        <v>0</v>
      </c>
      <c r="K399">
        <f t="shared" si="34"/>
        <v>2.1531829778114857</v>
      </c>
      <c r="L399" t="str">
        <f t="shared" si="35"/>
        <v>Normal</v>
      </c>
      <c r="M399">
        <f t="shared" si="36"/>
        <v>0</v>
      </c>
      <c r="N399" s="2" t="str">
        <f t="shared" si="37"/>
        <v>Normal</v>
      </c>
      <c r="O399" s="2">
        <f t="shared" si="38"/>
        <v>0</v>
      </c>
      <c r="P399" s="2" t="str">
        <f t="shared" si="39"/>
        <v>Normal</v>
      </c>
    </row>
    <row r="400" spans="1:16" x14ac:dyDescent="0.35">
      <c r="A400">
        <v>2432</v>
      </c>
      <c r="B400">
        <v>27968</v>
      </c>
      <c r="C400">
        <v>15200</v>
      </c>
      <c r="D400">
        <v>12768</v>
      </c>
      <c r="E400" s="1">
        <v>41944</v>
      </c>
      <c r="F400">
        <v>11</v>
      </c>
      <c r="G400" s="2" t="s">
        <v>19</v>
      </c>
      <c r="H400">
        <v>2014</v>
      </c>
      <c r="I400">
        <v>17632</v>
      </c>
      <c r="J400">
        <v>0</v>
      </c>
      <c r="K400">
        <f t="shared" si="34"/>
        <v>-0.59876035926056481</v>
      </c>
      <c r="L400" t="str">
        <f t="shared" si="35"/>
        <v>Normal</v>
      </c>
      <c r="M400">
        <f t="shared" si="36"/>
        <v>0</v>
      </c>
      <c r="N400" s="2" t="str">
        <f t="shared" si="37"/>
        <v>Normal</v>
      </c>
      <c r="O400" s="2">
        <f t="shared" si="38"/>
        <v>0</v>
      </c>
      <c r="P400" s="2" t="str">
        <f t="shared" si="39"/>
        <v>Normal</v>
      </c>
    </row>
    <row r="401" spans="1:16" x14ac:dyDescent="0.35">
      <c r="A401">
        <v>853.2</v>
      </c>
      <c r="B401">
        <v>9811.7999999999993</v>
      </c>
      <c r="C401">
        <v>7110</v>
      </c>
      <c r="D401">
        <v>2701.7999999999993</v>
      </c>
      <c r="E401" s="1">
        <v>41974</v>
      </c>
      <c r="F401">
        <v>12</v>
      </c>
      <c r="G401" s="2" t="s">
        <v>12</v>
      </c>
      <c r="H401">
        <v>2014</v>
      </c>
      <c r="I401">
        <v>7963.2</v>
      </c>
      <c r="J401">
        <v>0</v>
      </c>
      <c r="K401">
        <f t="shared" si="34"/>
        <v>-0.67551219893992731</v>
      </c>
      <c r="L401" t="str">
        <f t="shared" si="35"/>
        <v>Normal</v>
      </c>
      <c r="M401">
        <f t="shared" si="36"/>
        <v>0</v>
      </c>
      <c r="N401" s="2" t="str">
        <f t="shared" si="37"/>
        <v>Normal</v>
      </c>
      <c r="O401" s="2">
        <f t="shared" si="38"/>
        <v>0</v>
      </c>
      <c r="P401" s="2" t="str">
        <f t="shared" si="39"/>
        <v>Normal</v>
      </c>
    </row>
    <row r="402" spans="1:16" x14ac:dyDescent="0.35">
      <c r="A402">
        <v>1320</v>
      </c>
      <c r="B402">
        <v>15180</v>
      </c>
      <c r="C402">
        <v>4125</v>
      </c>
      <c r="D402">
        <v>11055</v>
      </c>
      <c r="E402" s="1">
        <v>41609</v>
      </c>
      <c r="F402">
        <v>12</v>
      </c>
      <c r="G402" s="2" t="s">
        <v>12</v>
      </c>
      <c r="H402">
        <v>2013</v>
      </c>
      <c r="I402">
        <v>5445</v>
      </c>
      <c r="J402">
        <v>0</v>
      </c>
      <c r="K402">
        <f t="shared" si="34"/>
        <v>-0.65281916704081</v>
      </c>
      <c r="L402" t="str">
        <f t="shared" si="35"/>
        <v>Normal</v>
      </c>
      <c r="M402">
        <f t="shared" si="36"/>
        <v>0</v>
      </c>
      <c r="N402" s="2" t="str">
        <f t="shared" si="37"/>
        <v>Normal</v>
      </c>
      <c r="O402" s="2">
        <f t="shared" si="38"/>
        <v>0</v>
      </c>
      <c r="P402" s="2" t="str">
        <f t="shared" si="39"/>
        <v>Normal</v>
      </c>
    </row>
    <row r="403" spans="1:16" x14ac:dyDescent="0.35">
      <c r="A403">
        <v>15240</v>
      </c>
      <c r="B403">
        <v>175260</v>
      </c>
      <c r="C403">
        <v>158750</v>
      </c>
      <c r="D403">
        <v>16510</v>
      </c>
      <c r="E403" s="1">
        <v>41974</v>
      </c>
      <c r="F403">
        <v>12</v>
      </c>
      <c r="G403" s="2" t="s">
        <v>12</v>
      </c>
      <c r="H403">
        <v>2014</v>
      </c>
      <c r="I403">
        <v>173990</v>
      </c>
      <c r="J403">
        <v>0</v>
      </c>
      <c r="K403">
        <f t="shared" si="34"/>
        <v>2.388821092772701E-2</v>
      </c>
      <c r="L403" t="str">
        <f t="shared" si="35"/>
        <v>Normal</v>
      </c>
      <c r="M403">
        <f t="shared" si="36"/>
        <v>0</v>
      </c>
      <c r="N403" s="2" t="str">
        <f t="shared" si="37"/>
        <v>Normal</v>
      </c>
      <c r="O403" s="2">
        <f t="shared" si="38"/>
        <v>0</v>
      </c>
      <c r="P403" s="2" t="str">
        <f t="shared" si="39"/>
        <v>Normal</v>
      </c>
    </row>
    <row r="404" spans="1:16" x14ac:dyDescent="0.35">
      <c r="A404">
        <v>698.40000000000009</v>
      </c>
      <c r="B404">
        <v>8031.5999999999995</v>
      </c>
      <c r="C404">
        <v>4365</v>
      </c>
      <c r="D404">
        <v>3666.5999999999995</v>
      </c>
      <c r="E404" s="1">
        <v>41821</v>
      </c>
      <c r="F404">
        <v>7</v>
      </c>
      <c r="G404" s="2" t="s">
        <v>14</v>
      </c>
      <c r="H404">
        <v>2014</v>
      </c>
      <c r="I404">
        <v>5063.3999999999996</v>
      </c>
      <c r="J404">
        <v>0</v>
      </c>
      <c r="K404">
        <f t="shared" si="34"/>
        <v>-0.68303765167768082</v>
      </c>
      <c r="L404" t="str">
        <f t="shared" si="35"/>
        <v>Normal</v>
      </c>
      <c r="M404">
        <f t="shared" si="36"/>
        <v>0</v>
      </c>
      <c r="N404" s="2" t="str">
        <f t="shared" si="37"/>
        <v>Normal</v>
      </c>
      <c r="O404" s="2">
        <f t="shared" si="38"/>
        <v>0</v>
      </c>
      <c r="P404" s="2" t="str">
        <f t="shared" si="39"/>
        <v>Normal</v>
      </c>
    </row>
    <row r="405" spans="1:16" x14ac:dyDescent="0.35">
      <c r="A405">
        <v>29538</v>
      </c>
      <c r="B405">
        <v>298662</v>
      </c>
      <c r="C405">
        <v>273500</v>
      </c>
      <c r="D405">
        <v>25162</v>
      </c>
      <c r="E405" s="1">
        <v>41791</v>
      </c>
      <c r="F405">
        <v>6</v>
      </c>
      <c r="G405" s="2" t="s">
        <v>11</v>
      </c>
      <c r="H405">
        <v>2014</v>
      </c>
      <c r="I405">
        <v>303038</v>
      </c>
      <c r="J405">
        <v>0</v>
      </c>
      <c r="K405">
        <f t="shared" si="34"/>
        <v>0.54554640593068426</v>
      </c>
      <c r="L405" t="str">
        <f t="shared" si="35"/>
        <v>Normal</v>
      </c>
      <c r="M405">
        <f t="shared" si="36"/>
        <v>0</v>
      </c>
      <c r="N405" s="2" t="str">
        <f t="shared" si="37"/>
        <v>Normal</v>
      </c>
      <c r="O405" s="2">
        <f t="shared" si="38"/>
        <v>0</v>
      </c>
      <c r="P405" s="2" t="str">
        <f t="shared" si="39"/>
        <v>Normal</v>
      </c>
    </row>
    <row r="406" spans="1:16" x14ac:dyDescent="0.35">
      <c r="A406">
        <v>396.36</v>
      </c>
      <c r="B406">
        <v>4007.64</v>
      </c>
      <c r="C406">
        <v>1101</v>
      </c>
      <c r="D406">
        <v>2906.64</v>
      </c>
      <c r="E406" s="1">
        <v>41548</v>
      </c>
      <c r="F406">
        <v>10</v>
      </c>
      <c r="G406" s="2" t="s">
        <v>17</v>
      </c>
      <c r="H406">
        <v>2013</v>
      </c>
      <c r="I406">
        <v>1497.3600000000001</v>
      </c>
      <c r="J406">
        <v>0</v>
      </c>
      <c r="K406">
        <f t="shared" si="34"/>
        <v>-0.70004816779868451</v>
      </c>
      <c r="L406" t="str">
        <f t="shared" si="35"/>
        <v>Normal</v>
      </c>
      <c r="M406">
        <f t="shared" si="36"/>
        <v>0</v>
      </c>
      <c r="N406" s="2" t="str">
        <f t="shared" si="37"/>
        <v>Normal</v>
      </c>
      <c r="O406" s="2">
        <f t="shared" si="38"/>
        <v>0</v>
      </c>
      <c r="P406" s="2" t="str">
        <f t="shared" si="39"/>
        <v>Normal</v>
      </c>
    </row>
    <row r="407" spans="1:16" x14ac:dyDescent="0.35">
      <c r="A407">
        <v>102667.5</v>
      </c>
      <c r="B407">
        <v>1038082.5</v>
      </c>
      <c r="C407">
        <v>950625</v>
      </c>
      <c r="D407">
        <v>87457.5</v>
      </c>
      <c r="E407" s="1">
        <v>41730</v>
      </c>
      <c r="F407">
        <v>4</v>
      </c>
      <c r="G407" s="2" t="s">
        <v>20</v>
      </c>
      <c r="H407">
        <v>2014</v>
      </c>
      <c r="I407">
        <v>1053292.5</v>
      </c>
      <c r="J407">
        <v>0</v>
      </c>
      <c r="K407">
        <f t="shared" si="34"/>
        <v>3.6713042006032515</v>
      </c>
      <c r="L407" t="str">
        <f t="shared" si="35"/>
        <v>Anomaly</v>
      </c>
      <c r="M407">
        <f t="shared" si="36"/>
        <v>0</v>
      </c>
      <c r="N407" s="2" t="str">
        <f t="shared" si="37"/>
        <v>Normal</v>
      </c>
      <c r="O407" s="2">
        <f t="shared" si="38"/>
        <v>0</v>
      </c>
      <c r="P407" s="2" t="str">
        <f t="shared" si="39"/>
        <v>Normal</v>
      </c>
    </row>
    <row r="408" spans="1:16" x14ac:dyDescent="0.35">
      <c r="A408">
        <v>52479</v>
      </c>
      <c r="B408">
        <v>530621</v>
      </c>
      <c r="C408">
        <v>433160</v>
      </c>
      <c r="D408">
        <v>97461</v>
      </c>
      <c r="E408" s="1">
        <v>41760</v>
      </c>
      <c r="F408">
        <v>5</v>
      </c>
      <c r="G408" s="2" t="s">
        <v>21</v>
      </c>
      <c r="H408">
        <v>2014</v>
      </c>
      <c r="I408">
        <v>485639</v>
      </c>
      <c r="J408">
        <v>0</v>
      </c>
      <c r="K408">
        <f t="shared" si="34"/>
        <v>1.5261084167140666</v>
      </c>
      <c r="L408" t="str">
        <f t="shared" si="35"/>
        <v>Normal</v>
      </c>
      <c r="M408">
        <f t="shared" si="36"/>
        <v>0</v>
      </c>
      <c r="N408" s="2" t="str">
        <f t="shared" si="37"/>
        <v>Normal</v>
      </c>
      <c r="O408" s="2">
        <f t="shared" si="38"/>
        <v>0</v>
      </c>
      <c r="P408" s="2" t="str">
        <f t="shared" si="39"/>
        <v>Normal</v>
      </c>
    </row>
    <row r="409" spans="1:16" x14ac:dyDescent="0.35">
      <c r="A409">
        <v>8694</v>
      </c>
      <c r="B409">
        <v>87906</v>
      </c>
      <c r="C409">
        <v>80500</v>
      </c>
      <c r="D409">
        <v>7406</v>
      </c>
      <c r="E409" s="1">
        <v>41518</v>
      </c>
      <c r="F409">
        <v>9</v>
      </c>
      <c r="G409" s="2" t="s">
        <v>16</v>
      </c>
      <c r="H409">
        <v>2013</v>
      </c>
      <c r="I409">
        <v>89194</v>
      </c>
      <c r="J409">
        <v>0</v>
      </c>
      <c r="K409">
        <f t="shared" si="34"/>
        <v>-0.34538400480855225</v>
      </c>
      <c r="L409" t="str">
        <f t="shared" si="35"/>
        <v>Normal</v>
      </c>
      <c r="M409">
        <f t="shared" si="36"/>
        <v>0</v>
      </c>
      <c r="N409" s="2" t="str">
        <f t="shared" si="37"/>
        <v>Normal</v>
      </c>
      <c r="O409" s="2">
        <f t="shared" si="38"/>
        <v>0</v>
      </c>
      <c r="P409" s="2" t="str">
        <f t="shared" si="39"/>
        <v>Normal</v>
      </c>
    </row>
    <row r="410" spans="1:16" x14ac:dyDescent="0.35">
      <c r="A410">
        <v>2506.6799999999998</v>
      </c>
      <c r="B410">
        <v>25345.32</v>
      </c>
      <c r="C410">
        <v>6963</v>
      </c>
      <c r="D410">
        <v>18382.32</v>
      </c>
      <c r="E410" s="1">
        <v>41944</v>
      </c>
      <c r="F410">
        <v>11</v>
      </c>
      <c r="G410" s="2" t="s">
        <v>19</v>
      </c>
      <c r="H410">
        <v>2014</v>
      </c>
      <c r="I410">
        <v>9469.68</v>
      </c>
      <c r="J410">
        <v>0</v>
      </c>
      <c r="K410">
        <f t="shared" si="34"/>
        <v>-0.60984723398601781</v>
      </c>
      <c r="L410" t="str">
        <f t="shared" si="35"/>
        <v>Normal</v>
      </c>
      <c r="M410">
        <f t="shared" si="36"/>
        <v>0</v>
      </c>
      <c r="N410" s="2" t="str">
        <f t="shared" si="37"/>
        <v>Normal</v>
      </c>
      <c r="O410" s="2">
        <f t="shared" si="38"/>
        <v>0</v>
      </c>
      <c r="P410" s="2" t="str">
        <f t="shared" si="39"/>
        <v>Normal</v>
      </c>
    </row>
    <row r="411" spans="1:16" x14ac:dyDescent="0.35">
      <c r="A411">
        <v>20891.25</v>
      </c>
      <c r="B411">
        <v>211233.75</v>
      </c>
      <c r="C411">
        <v>222840</v>
      </c>
      <c r="D411">
        <v>-11606.25</v>
      </c>
      <c r="E411" s="1">
        <v>41579</v>
      </c>
      <c r="F411">
        <v>11</v>
      </c>
      <c r="G411" s="2" t="s">
        <v>19</v>
      </c>
      <c r="H411">
        <v>2013</v>
      </c>
      <c r="I411">
        <v>243731.25</v>
      </c>
      <c r="J411">
        <v>0</v>
      </c>
      <c r="K411">
        <f t="shared" si="34"/>
        <v>0.17596031261560593</v>
      </c>
      <c r="L411" t="str">
        <f t="shared" si="35"/>
        <v>Normal</v>
      </c>
      <c r="M411">
        <f t="shared" si="36"/>
        <v>0</v>
      </c>
      <c r="N411" s="2" t="str">
        <f t="shared" si="37"/>
        <v>Normal</v>
      </c>
      <c r="O411" s="2">
        <f t="shared" si="38"/>
        <v>0</v>
      </c>
      <c r="P411" s="2" t="str">
        <f t="shared" si="39"/>
        <v>Normal</v>
      </c>
    </row>
    <row r="412" spans="1:16" x14ac:dyDescent="0.35">
      <c r="A412">
        <v>1014.93</v>
      </c>
      <c r="B412">
        <v>10262.07</v>
      </c>
      <c r="C412">
        <v>8055</v>
      </c>
      <c r="D412">
        <v>2207.0699999999997</v>
      </c>
      <c r="E412" s="1">
        <v>41609</v>
      </c>
      <c r="F412">
        <v>12</v>
      </c>
      <c r="G412" s="2" t="s">
        <v>12</v>
      </c>
      <c r="H412">
        <v>2013</v>
      </c>
      <c r="I412">
        <v>9069.93</v>
      </c>
      <c r="J412">
        <v>0</v>
      </c>
      <c r="K412">
        <f t="shared" si="34"/>
        <v>-0.67360876921055513</v>
      </c>
      <c r="L412" t="str">
        <f t="shared" si="35"/>
        <v>Normal</v>
      </c>
      <c r="M412">
        <f t="shared" si="36"/>
        <v>0</v>
      </c>
      <c r="N412" s="2" t="str">
        <f t="shared" si="37"/>
        <v>Normal</v>
      </c>
      <c r="O412" s="2">
        <f t="shared" si="38"/>
        <v>0</v>
      </c>
      <c r="P412" s="2" t="str">
        <f t="shared" si="39"/>
        <v>Normal</v>
      </c>
    </row>
    <row r="413" spans="1:16" x14ac:dyDescent="0.35">
      <c r="A413">
        <v>31466.25</v>
      </c>
      <c r="B413">
        <v>318158.75</v>
      </c>
      <c r="C413">
        <v>335640</v>
      </c>
      <c r="D413">
        <v>-17481.25</v>
      </c>
      <c r="E413" s="1">
        <v>41974</v>
      </c>
      <c r="F413">
        <v>12</v>
      </c>
      <c r="G413" s="2" t="s">
        <v>12</v>
      </c>
      <c r="H413">
        <v>2014</v>
      </c>
      <c r="I413">
        <v>367106.25</v>
      </c>
      <c r="J413">
        <v>0</v>
      </c>
      <c r="K413">
        <f t="shared" si="34"/>
        <v>0.62796516262363833</v>
      </c>
      <c r="L413" t="str">
        <f t="shared" si="35"/>
        <v>Normal</v>
      </c>
      <c r="M413">
        <f t="shared" si="36"/>
        <v>0</v>
      </c>
      <c r="N413" s="2" t="str">
        <f t="shared" si="37"/>
        <v>Normal</v>
      </c>
      <c r="O413" s="2">
        <f t="shared" si="38"/>
        <v>0</v>
      </c>
      <c r="P413" s="2" t="str">
        <f t="shared" si="39"/>
        <v>Normal</v>
      </c>
    </row>
    <row r="414" spans="1:16" x14ac:dyDescent="0.35">
      <c r="A414">
        <v>9018</v>
      </c>
      <c r="B414">
        <v>91182</v>
      </c>
      <c r="C414">
        <v>83500</v>
      </c>
      <c r="D414">
        <v>7682</v>
      </c>
      <c r="E414" s="1">
        <v>41609</v>
      </c>
      <c r="F414">
        <v>12</v>
      </c>
      <c r="G414" s="2" t="s">
        <v>12</v>
      </c>
      <c r="H414">
        <v>2013</v>
      </c>
      <c r="I414">
        <v>92518</v>
      </c>
      <c r="J414">
        <v>0</v>
      </c>
      <c r="K414">
        <f t="shared" si="34"/>
        <v>-0.33153534557426356</v>
      </c>
      <c r="L414" t="str">
        <f t="shared" si="35"/>
        <v>Normal</v>
      </c>
      <c r="M414">
        <f t="shared" si="36"/>
        <v>0</v>
      </c>
      <c r="N414" s="2" t="str">
        <f t="shared" si="37"/>
        <v>Normal</v>
      </c>
      <c r="O414" s="2">
        <f t="shared" si="38"/>
        <v>0</v>
      </c>
      <c r="P414" s="2" t="str">
        <f t="shared" si="39"/>
        <v>Normal</v>
      </c>
    </row>
    <row r="415" spans="1:16" x14ac:dyDescent="0.35">
      <c r="A415">
        <v>69255</v>
      </c>
      <c r="B415">
        <v>700245</v>
      </c>
      <c r="C415">
        <v>641250</v>
      </c>
      <c r="D415">
        <v>58995</v>
      </c>
      <c r="E415" s="1">
        <v>41640</v>
      </c>
      <c r="F415">
        <v>1</v>
      </c>
      <c r="G415" s="2" t="s">
        <v>10</v>
      </c>
      <c r="H415">
        <v>2014</v>
      </c>
      <c r="I415">
        <v>710505</v>
      </c>
      <c r="J415">
        <v>0</v>
      </c>
      <c r="K415">
        <f t="shared" si="34"/>
        <v>2.2431612170672346</v>
      </c>
      <c r="L415" t="str">
        <f t="shared" si="35"/>
        <v>Normal</v>
      </c>
      <c r="M415">
        <f t="shared" si="36"/>
        <v>0</v>
      </c>
      <c r="N415" s="2" t="str">
        <f t="shared" si="37"/>
        <v>Normal</v>
      </c>
      <c r="O415" s="2">
        <f t="shared" si="38"/>
        <v>0</v>
      </c>
      <c r="P415" s="2" t="str">
        <f t="shared" si="39"/>
        <v>Normal</v>
      </c>
    </row>
    <row r="416" spans="1:16" x14ac:dyDescent="0.35">
      <c r="A416">
        <v>76135.5</v>
      </c>
      <c r="B416">
        <v>769814.5</v>
      </c>
      <c r="C416">
        <v>628420</v>
      </c>
      <c r="D416">
        <v>141394.5</v>
      </c>
      <c r="E416" s="1">
        <v>41640</v>
      </c>
      <c r="F416">
        <v>1</v>
      </c>
      <c r="G416" s="2" t="s">
        <v>10</v>
      </c>
      <c r="H416">
        <v>2014</v>
      </c>
      <c r="I416">
        <v>704555.5</v>
      </c>
      <c r="J416">
        <v>0</v>
      </c>
      <c r="K416">
        <f t="shared" si="34"/>
        <v>2.5372528833065031</v>
      </c>
      <c r="L416" t="str">
        <f t="shared" si="35"/>
        <v>Normal</v>
      </c>
      <c r="M416">
        <f t="shared" si="36"/>
        <v>0</v>
      </c>
      <c r="N416" s="2" t="str">
        <f t="shared" si="37"/>
        <v>Normal</v>
      </c>
      <c r="O416" s="2">
        <f t="shared" si="38"/>
        <v>0</v>
      </c>
      <c r="P416" s="2" t="str">
        <f t="shared" si="39"/>
        <v>Normal</v>
      </c>
    </row>
    <row r="417" spans="1:16" x14ac:dyDescent="0.35">
      <c r="A417">
        <v>4961.25</v>
      </c>
      <c r="B417">
        <v>50163.75</v>
      </c>
      <c r="C417">
        <v>36750</v>
      </c>
      <c r="D417">
        <v>13413.75</v>
      </c>
      <c r="E417" s="1">
        <v>41730</v>
      </c>
      <c r="F417">
        <v>4</v>
      </c>
      <c r="G417" s="2" t="s">
        <v>20</v>
      </c>
      <c r="H417">
        <v>2014</v>
      </c>
      <c r="I417">
        <v>41711.25</v>
      </c>
      <c r="J417">
        <v>0</v>
      </c>
      <c r="K417">
        <f t="shared" si="34"/>
        <v>-0.50493209973691944</v>
      </c>
      <c r="L417" t="str">
        <f t="shared" si="35"/>
        <v>Normal</v>
      </c>
      <c r="M417">
        <f t="shared" si="36"/>
        <v>0</v>
      </c>
      <c r="N417" s="2" t="str">
        <f t="shared" si="37"/>
        <v>Normal</v>
      </c>
      <c r="O417" s="2">
        <f t="shared" si="38"/>
        <v>0</v>
      </c>
      <c r="P417" s="2" t="str">
        <f t="shared" si="39"/>
        <v>Normal</v>
      </c>
    </row>
    <row r="418" spans="1:16" x14ac:dyDescent="0.35">
      <c r="A418">
        <v>29538</v>
      </c>
      <c r="B418">
        <v>298662</v>
      </c>
      <c r="C418">
        <v>273500</v>
      </c>
      <c r="D418">
        <v>25162</v>
      </c>
      <c r="E418" s="1">
        <v>41791</v>
      </c>
      <c r="F418">
        <v>6</v>
      </c>
      <c r="G418" s="2" t="s">
        <v>11</v>
      </c>
      <c r="H418">
        <v>2014</v>
      </c>
      <c r="I418">
        <v>303038</v>
      </c>
      <c r="J418">
        <v>0</v>
      </c>
      <c r="K418">
        <f t="shared" si="34"/>
        <v>0.54554640593068426</v>
      </c>
      <c r="L418" t="str">
        <f t="shared" si="35"/>
        <v>Normal</v>
      </c>
      <c r="M418">
        <f t="shared" si="36"/>
        <v>0</v>
      </c>
      <c r="N418" s="2" t="str">
        <f t="shared" si="37"/>
        <v>Normal</v>
      </c>
      <c r="O418" s="2">
        <f t="shared" si="38"/>
        <v>0</v>
      </c>
      <c r="P418" s="2" t="str">
        <f t="shared" si="39"/>
        <v>Normal</v>
      </c>
    </row>
    <row r="419" spans="1:16" x14ac:dyDescent="0.35">
      <c r="A419">
        <v>1656.45</v>
      </c>
      <c r="B419">
        <v>16748.55</v>
      </c>
      <c r="C419">
        <v>12270</v>
      </c>
      <c r="D419">
        <v>4478.5499999999993</v>
      </c>
      <c r="E419" s="1">
        <v>41913</v>
      </c>
      <c r="F419">
        <v>10</v>
      </c>
      <c r="G419" s="2" t="s">
        <v>17</v>
      </c>
      <c r="H419">
        <v>2014</v>
      </c>
      <c r="I419">
        <v>13926.45</v>
      </c>
      <c r="J419">
        <v>0</v>
      </c>
      <c r="K419">
        <f t="shared" si="34"/>
        <v>-0.64618842392666365</v>
      </c>
      <c r="L419" t="str">
        <f t="shared" si="35"/>
        <v>Normal</v>
      </c>
      <c r="M419">
        <f t="shared" si="36"/>
        <v>0</v>
      </c>
      <c r="N419" s="2" t="str">
        <f t="shared" si="37"/>
        <v>Normal</v>
      </c>
      <c r="O419" s="2">
        <f t="shared" si="38"/>
        <v>0</v>
      </c>
      <c r="P419" s="2" t="str">
        <f t="shared" si="39"/>
        <v>Normal</v>
      </c>
    </row>
    <row r="420" spans="1:16" x14ac:dyDescent="0.35">
      <c r="A420">
        <v>396.36</v>
      </c>
      <c r="B420">
        <v>4007.64</v>
      </c>
      <c r="C420">
        <v>1101</v>
      </c>
      <c r="D420">
        <v>2906.64</v>
      </c>
      <c r="E420" s="1">
        <v>41548</v>
      </c>
      <c r="F420">
        <v>10</v>
      </c>
      <c r="G420" s="2" t="s">
        <v>17</v>
      </c>
      <c r="H420">
        <v>2013</v>
      </c>
      <c r="I420">
        <v>1497.3600000000001</v>
      </c>
      <c r="J420">
        <v>0</v>
      </c>
      <c r="K420">
        <f t="shared" si="34"/>
        <v>-0.70004816779868451</v>
      </c>
      <c r="L420" t="str">
        <f t="shared" si="35"/>
        <v>Normal</v>
      </c>
      <c r="M420">
        <f t="shared" si="36"/>
        <v>0</v>
      </c>
      <c r="N420" s="2" t="str">
        <f t="shared" si="37"/>
        <v>Normal</v>
      </c>
      <c r="O420" s="2">
        <f t="shared" si="38"/>
        <v>0</v>
      </c>
      <c r="P420" s="2" t="str">
        <f t="shared" si="39"/>
        <v>Normal</v>
      </c>
    </row>
    <row r="421" spans="1:16" x14ac:dyDescent="0.35">
      <c r="A421">
        <v>35748</v>
      </c>
      <c r="B421">
        <v>361452</v>
      </c>
      <c r="C421">
        <v>331000</v>
      </c>
      <c r="D421">
        <v>30452</v>
      </c>
      <c r="E421" s="1">
        <v>41944</v>
      </c>
      <c r="F421">
        <v>11</v>
      </c>
      <c r="G421" s="2" t="s">
        <v>19</v>
      </c>
      <c r="H421">
        <v>2014</v>
      </c>
      <c r="I421">
        <v>366748</v>
      </c>
      <c r="J421">
        <v>0</v>
      </c>
      <c r="K421">
        <f t="shared" si="34"/>
        <v>0.81097904125455011</v>
      </c>
      <c r="L421" t="str">
        <f t="shared" si="35"/>
        <v>Normal</v>
      </c>
      <c r="M421">
        <f t="shared" si="36"/>
        <v>0</v>
      </c>
      <c r="N421" s="2" t="str">
        <f t="shared" si="37"/>
        <v>Normal</v>
      </c>
      <c r="O421" s="2">
        <f t="shared" si="38"/>
        <v>0</v>
      </c>
      <c r="P421" s="2" t="str">
        <f t="shared" si="39"/>
        <v>Normal</v>
      </c>
    </row>
    <row r="422" spans="1:16" x14ac:dyDescent="0.35">
      <c r="A422">
        <v>1917</v>
      </c>
      <c r="B422">
        <v>19383</v>
      </c>
      <c r="C422">
        <v>5325</v>
      </c>
      <c r="D422">
        <v>14058</v>
      </c>
      <c r="E422" s="1">
        <v>41579</v>
      </c>
      <c r="F422">
        <v>11</v>
      </c>
      <c r="G422" s="2" t="s">
        <v>19</v>
      </c>
      <c r="H422">
        <v>2013</v>
      </c>
      <c r="I422">
        <v>7242</v>
      </c>
      <c r="J422">
        <v>0</v>
      </c>
      <c r="K422">
        <f t="shared" si="34"/>
        <v>-0.63505179379242316</v>
      </c>
      <c r="L422" t="str">
        <f t="shared" si="35"/>
        <v>Normal</v>
      </c>
      <c r="M422">
        <f t="shared" si="36"/>
        <v>0</v>
      </c>
      <c r="N422" s="2" t="str">
        <f t="shared" si="37"/>
        <v>Normal</v>
      </c>
      <c r="O422" s="2">
        <f t="shared" si="38"/>
        <v>0</v>
      </c>
      <c r="P422" s="2" t="str">
        <f t="shared" si="39"/>
        <v>Normal</v>
      </c>
    </row>
    <row r="423" spans="1:16" x14ac:dyDescent="0.35">
      <c r="A423">
        <v>31466.25</v>
      </c>
      <c r="B423">
        <v>318158.75</v>
      </c>
      <c r="C423">
        <v>335640</v>
      </c>
      <c r="D423">
        <v>-17481.25</v>
      </c>
      <c r="E423" s="1">
        <v>41974</v>
      </c>
      <c r="F423">
        <v>12</v>
      </c>
      <c r="G423" s="2" t="s">
        <v>12</v>
      </c>
      <c r="H423">
        <v>2014</v>
      </c>
      <c r="I423">
        <v>367106.25</v>
      </c>
      <c r="J423">
        <v>0</v>
      </c>
      <c r="K423">
        <f t="shared" si="34"/>
        <v>0.62796516262363833</v>
      </c>
      <c r="L423" t="str">
        <f t="shared" si="35"/>
        <v>Normal</v>
      </c>
      <c r="M423">
        <f t="shared" si="36"/>
        <v>0</v>
      </c>
      <c r="N423" s="2" t="str">
        <f t="shared" si="37"/>
        <v>Normal</v>
      </c>
      <c r="O423" s="2">
        <f t="shared" si="38"/>
        <v>0</v>
      </c>
      <c r="P423" s="2" t="str">
        <f t="shared" si="39"/>
        <v>Normal</v>
      </c>
    </row>
    <row r="424" spans="1:16" x14ac:dyDescent="0.35">
      <c r="A424">
        <v>330.75</v>
      </c>
      <c r="B424">
        <v>3344.25</v>
      </c>
      <c r="C424">
        <v>2450</v>
      </c>
      <c r="D424">
        <v>894.25</v>
      </c>
      <c r="E424" s="1">
        <v>41760</v>
      </c>
      <c r="F424">
        <v>5</v>
      </c>
      <c r="G424" s="2" t="s">
        <v>21</v>
      </c>
      <c r="H424">
        <v>2014</v>
      </c>
      <c r="I424">
        <v>2780.75</v>
      </c>
      <c r="J424">
        <v>0</v>
      </c>
      <c r="K424">
        <f t="shared" si="34"/>
        <v>-0.70285252129362807</v>
      </c>
      <c r="L424" t="str">
        <f t="shared" si="35"/>
        <v>Normal</v>
      </c>
      <c r="M424">
        <f t="shared" si="36"/>
        <v>0</v>
      </c>
      <c r="N424" s="2" t="str">
        <f t="shared" si="37"/>
        <v>Normal</v>
      </c>
      <c r="O424" s="2">
        <f t="shared" si="38"/>
        <v>0</v>
      </c>
      <c r="P424" s="2" t="str">
        <f t="shared" si="39"/>
        <v>Normal</v>
      </c>
    </row>
    <row r="425" spans="1:16" x14ac:dyDescent="0.35">
      <c r="A425">
        <v>102424.5</v>
      </c>
      <c r="B425">
        <v>1035625.5</v>
      </c>
      <c r="C425">
        <v>948375</v>
      </c>
      <c r="D425">
        <v>87250.5</v>
      </c>
      <c r="E425" s="1">
        <v>41821</v>
      </c>
      <c r="F425">
        <v>7</v>
      </c>
      <c r="G425" s="2" t="s">
        <v>14</v>
      </c>
      <c r="H425">
        <v>2014</v>
      </c>
      <c r="I425">
        <v>1050799.5</v>
      </c>
      <c r="J425">
        <v>0</v>
      </c>
      <c r="K425">
        <f t="shared" si="34"/>
        <v>3.6609177061775351</v>
      </c>
      <c r="L425" t="str">
        <f t="shared" si="35"/>
        <v>Anomaly</v>
      </c>
      <c r="M425">
        <f t="shared" si="36"/>
        <v>0</v>
      </c>
      <c r="N425" s="2" t="str">
        <f t="shared" si="37"/>
        <v>Normal</v>
      </c>
      <c r="O425" s="2">
        <f t="shared" si="38"/>
        <v>0</v>
      </c>
      <c r="P425" s="2" t="str">
        <f t="shared" si="39"/>
        <v>Normal</v>
      </c>
    </row>
    <row r="426" spans="1:16" x14ac:dyDescent="0.35">
      <c r="A426">
        <v>41170.5</v>
      </c>
      <c r="B426">
        <v>416279.5</v>
      </c>
      <c r="C426">
        <v>339820</v>
      </c>
      <c r="D426">
        <v>76459.5</v>
      </c>
      <c r="E426" s="1">
        <v>41821</v>
      </c>
      <c r="F426">
        <v>7</v>
      </c>
      <c r="G426" s="2" t="s">
        <v>14</v>
      </c>
      <c r="H426">
        <v>2014</v>
      </c>
      <c r="I426">
        <v>380990.5</v>
      </c>
      <c r="J426">
        <v>0</v>
      </c>
      <c r="K426">
        <f t="shared" si="34"/>
        <v>1.0427517409395199</v>
      </c>
      <c r="L426" t="str">
        <f t="shared" si="35"/>
        <v>Normal</v>
      </c>
      <c r="M426">
        <f t="shared" si="36"/>
        <v>0</v>
      </c>
      <c r="N426" s="2" t="str">
        <f t="shared" si="37"/>
        <v>Normal</v>
      </c>
      <c r="O426" s="2">
        <f t="shared" si="38"/>
        <v>0</v>
      </c>
      <c r="P426" s="2" t="str">
        <f t="shared" si="39"/>
        <v>Normal</v>
      </c>
    </row>
    <row r="427" spans="1:16" x14ac:dyDescent="0.35">
      <c r="A427">
        <v>6378.75</v>
      </c>
      <c r="B427">
        <v>64496.25</v>
      </c>
      <c r="C427">
        <v>68040</v>
      </c>
      <c r="D427">
        <v>-3543.75</v>
      </c>
      <c r="E427" s="1">
        <v>41883</v>
      </c>
      <c r="F427">
        <v>9</v>
      </c>
      <c r="G427" s="2" t="s">
        <v>16</v>
      </c>
      <c r="H427">
        <v>2014</v>
      </c>
      <c r="I427">
        <v>74418.75</v>
      </c>
      <c r="J427">
        <v>0</v>
      </c>
      <c r="K427">
        <f t="shared" si="34"/>
        <v>-0.44434421558690657</v>
      </c>
      <c r="L427" t="str">
        <f t="shared" si="35"/>
        <v>Normal</v>
      </c>
      <c r="M427">
        <f t="shared" si="36"/>
        <v>0</v>
      </c>
      <c r="N427" s="2" t="str">
        <f t="shared" si="37"/>
        <v>Normal</v>
      </c>
      <c r="O427" s="2">
        <f t="shared" si="38"/>
        <v>0</v>
      </c>
      <c r="P427" s="2" t="str">
        <f t="shared" si="39"/>
        <v>Normal</v>
      </c>
    </row>
    <row r="428" spans="1:16" x14ac:dyDescent="0.35">
      <c r="A428">
        <v>23737.5</v>
      </c>
      <c r="B428">
        <v>240012.5</v>
      </c>
      <c r="C428">
        <v>253200</v>
      </c>
      <c r="D428">
        <v>-13187.5</v>
      </c>
      <c r="E428" s="1">
        <v>41883</v>
      </c>
      <c r="F428">
        <v>9</v>
      </c>
      <c r="G428" s="2" t="s">
        <v>16</v>
      </c>
      <c r="H428">
        <v>2014</v>
      </c>
      <c r="I428">
        <v>276937.5</v>
      </c>
      <c r="J428">
        <v>0</v>
      </c>
      <c r="K428">
        <f t="shared" si="34"/>
        <v>0.29761693713904441</v>
      </c>
      <c r="L428" t="str">
        <f t="shared" si="35"/>
        <v>Normal</v>
      </c>
      <c r="M428">
        <f t="shared" si="36"/>
        <v>0</v>
      </c>
      <c r="N428" s="2" t="str">
        <f t="shared" si="37"/>
        <v>Normal</v>
      </c>
      <c r="O428" s="2">
        <f t="shared" si="38"/>
        <v>0</v>
      </c>
      <c r="P428" s="2" t="str">
        <f t="shared" si="39"/>
        <v>Normal</v>
      </c>
    </row>
    <row r="429" spans="1:16" x14ac:dyDescent="0.35">
      <c r="A429">
        <v>39973.5</v>
      </c>
      <c r="B429">
        <v>404176.5</v>
      </c>
      <c r="C429">
        <v>329940</v>
      </c>
      <c r="D429">
        <v>74236.5</v>
      </c>
      <c r="E429" s="1">
        <v>41913</v>
      </c>
      <c r="F429">
        <v>10</v>
      </c>
      <c r="G429" s="2" t="s">
        <v>17</v>
      </c>
      <c r="H429">
        <v>2014</v>
      </c>
      <c r="I429">
        <v>369913.5</v>
      </c>
      <c r="J429">
        <v>0</v>
      </c>
      <c r="K429">
        <f t="shared" si="34"/>
        <v>0.99158863876839787</v>
      </c>
      <c r="L429" t="str">
        <f t="shared" si="35"/>
        <v>Normal</v>
      </c>
      <c r="M429">
        <f t="shared" si="36"/>
        <v>0</v>
      </c>
      <c r="N429" s="2" t="str">
        <f t="shared" si="37"/>
        <v>Normal</v>
      </c>
      <c r="O429" s="2">
        <f t="shared" si="38"/>
        <v>0</v>
      </c>
      <c r="P429" s="2" t="str">
        <f t="shared" si="39"/>
        <v>Normal</v>
      </c>
    </row>
    <row r="430" spans="1:16" x14ac:dyDescent="0.35">
      <c r="A430">
        <v>2112.48</v>
      </c>
      <c r="B430">
        <v>21359.52</v>
      </c>
      <c r="C430">
        <v>5868</v>
      </c>
      <c r="D430">
        <v>15491.52</v>
      </c>
      <c r="E430" s="1">
        <v>41640</v>
      </c>
      <c r="F430">
        <v>1</v>
      </c>
      <c r="G430" s="2" t="s">
        <v>10</v>
      </c>
      <c r="H430">
        <v>2014</v>
      </c>
      <c r="I430">
        <v>7980.48</v>
      </c>
      <c r="J430">
        <v>0</v>
      </c>
      <c r="K430">
        <f t="shared" si="34"/>
        <v>-0.62669643605440239</v>
      </c>
      <c r="L430" t="str">
        <f t="shared" si="35"/>
        <v>Normal</v>
      </c>
      <c r="M430">
        <f t="shared" si="36"/>
        <v>0</v>
      </c>
      <c r="N430" s="2" t="str">
        <f t="shared" si="37"/>
        <v>Normal</v>
      </c>
      <c r="O430" s="2">
        <f t="shared" si="38"/>
        <v>0</v>
      </c>
      <c r="P430" s="2" t="str">
        <f t="shared" si="39"/>
        <v>Normal</v>
      </c>
    </row>
    <row r="431" spans="1:16" x14ac:dyDescent="0.35">
      <c r="A431">
        <v>71793</v>
      </c>
      <c r="B431">
        <v>725907</v>
      </c>
      <c r="C431">
        <v>664750</v>
      </c>
      <c r="D431">
        <v>61157</v>
      </c>
      <c r="E431" s="1">
        <v>41671</v>
      </c>
      <c r="F431">
        <v>2</v>
      </c>
      <c r="G431" s="2" t="s">
        <v>18</v>
      </c>
      <c r="H431">
        <v>2014</v>
      </c>
      <c r="I431">
        <v>736543</v>
      </c>
      <c r="J431">
        <v>0</v>
      </c>
      <c r="K431">
        <f t="shared" si="34"/>
        <v>2.3516423810691625</v>
      </c>
      <c r="L431" t="str">
        <f t="shared" si="35"/>
        <v>Normal</v>
      </c>
      <c r="M431">
        <f t="shared" si="36"/>
        <v>0</v>
      </c>
      <c r="N431" s="2" t="str">
        <f t="shared" si="37"/>
        <v>Normal</v>
      </c>
      <c r="O431" s="2">
        <f t="shared" si="38"/>
        <v>0</v>
      </c>
      <c r="P431" s="2" t="str">
        <f t="shared" si="39"/>
        <v>Normal</v>
      </c>
    </row>
    <row r="432" spans="1:16" x14ac:dyDescent="0.35">
      <c r="A432">
        <v>42572.25</v>
      </c>
      <c r="B432">
        <v>430452.75</v>
      </c>
      <c r="C432">
        <v>351390</v>
      </c>
      <c r="D432">
        <v>79062.75</v>
      </c>
      <c r="E432" s="1">
        <v>41730</v>
      </c>
      <c r="F432">
        <v>4</v>
      </c>
      <c r="G432" s="2" t="s">
        <v>20</v>
      </c>
      <c r="H432">
        <v>2014</v>
      </c>
      <c r="I432">
        <v>393962.25</v>
      </c>
      <c r="J432">
        <v>0</v>
      </c>
      <c r="K432">
        <f t="shared" si="34"/>
        <v>1.1026664263767547</v>
      </c>
      <c r="L432" t="str">
        <f t="shared" si="35"/>
        <v>Normal</v>
      </c>
      <c r="M432">
        <f t="shared" si="36"/>
        <v>0</v>
      </c>
      <c r="N432" s="2" t="str">
        <f t="shared" si="37"/>
        <v>Normal</v>
      </c>
      <c r="O432" s="2">
        <f t="shared" si="38"/>
        <v>0</v>
      </c>
      <c r="P432" s="2" t="str">
        <f t="shared" si="39"/>
        <v>Normal</v>
      </c>
    </row>
    <row r="433" spans="1:16" x14ac:dyDescent="0.35">
      <c r="A433">
        <v>950.4</v>
      </c>
      <c r="B433">
        <v>9609.6</v>
      </c>
      <c r="C433">
        <v>2640</v>
      </c>
      <c r="D433">
        <v>6969.6</v>
      </c>
      <c r="E433" s="1">
        <v>41760</v>
      </c>
      <c r="F433">
        <v>5</v>
      </c>
      <c r="G433" s="2" t="s">
        <v>21</v>
      </c>
      <c r="H433">
        <v>2014</v>
      </c>
      <c r="I433">
        <v>3590.4</v>
      </c>
      <c r="J433">
        <v>0</v>
      </c>
      <c r="K433">
        <f t="shared" si="34"/>
        <v>-0.67636696050805101</v>
      </c>
      <c r="L433" t="str">
        <f t="shared" si="35"/>
        <v>Normal</v>
      </c>
      <c r="M433">
        <f t="shared" si="36"/>
        <v>0</v>
      </c>
      <c r="N433" s="2" t="str">
        <f t="shared" si="37"/>
        <v>Normal</v>
      </c>
      <c r="O433" s="2">
        <f t="shared" si="38"/>
        <v>0</v>
      </c>
      <c r="P433" s="2" t="str">
        <f t="shared" si="39"/>
        <v>Normal</v>
      </c>
    </row>
    <row r="434" spans="1:16" x14ac:dyDescent="0.35">
      <c r="A434">
        <v>50409</v>
      </c>
      <c r="B434">
        <v>509691</v>
      </c>
      <c r="C434">
        <v>466750</v>
      </c>
      <c r="D434">
        <v>42941</v>
      </c>
      <c r="E434" s="1">
        <v>41883</v>
      </c>
      <c r="F434">
        <v>9</v>
      </c>
      <c r="G434" s="2" t="s">
        <v>16</v>
      </c>
      <c r="H434">
        <v>2014</v>
      </c>
      <c r="I434">
        <v>517159</v>
      </c>
      <c r="J434">
        <v>0</v>
      </c>
      <c r="K434">
        <f t="shared" si="34"/>
        <v>1.4376308716061115</v>
      </c>
      <c r="L434" t="str">
        <f t="shared" si="35"/>
        <v>Normal</v>
      </c>
      <c r="M434">
        <f t="shared" si="36"/>
        <v>0</v>
      </c>
      <c r="N434" s="2" t="str">
        <f t="shared" si="37"/>
        <v>Normal</v>
      </c>
      <c r="O434" s="2">
        <f t="shared" si="38"/>
        <v>0</v>
      </c>
      <c r="P434" s="2" t="str">
        <f t="shared" si="39"/>
        <v>Normal</v>
      </c>
    </row>
    <row r="435" spans="1:16" x14ac:dyDescent="0.35">
      <c r="A435">
        <v>2412.7199999999998</v>
      </c>
      <c r="B435">
        <v>24395.279999999999</v>
      </c>
      <c r="C435">
        <v>6702</v>
      </c>
      <c r="D435">
        <v>17693.28</v>
      </c>
      <c r="E435" s="1">
        <v>41518</v>
      </c>
      <c r="F435">
        <v>9</v>
      </c>
      <c r="G435" s="2" t="s">
        <v>16</v>
      </c>
      <c r="H435">
        <v>2013</v>
      </c>
      <c r="I435">
        <v>9114.7199999999993</v>
      </c>
      <c r="J435">
        <v>0</v>
      </c>
      <c r="K435">
        <f t="shared" si="34"/>
        <v>-0.61386334516396157</v>
      </c>
      <c r="L435" t="str">
        <f t="shared" si="35"/>
        <v>Normal</v>
      </c>
      <c r="M435">
        <f t="shared" si="36"/>
        <v>0</v>
      </c>
      <c r="N435" s="2" t="str">
        <f t="shared" si="37"/>
        <v>Normal</v>
      </c>
      <c r="O435" s="2">
        <f t="shared" si="38"/>
        <v>0</v>
      </c>
      <c r="P435" s="2" t="str">
        <f t="shared" si="39"/>
        <v>Normal</v>
      </c>
    </row>
    <row r="436" spans="1:16" x14ac:dyDescent="0.35">
      <c r="A436">
        <v>1656.45</v>
      </c>
      <c r="B436">
        <v>16748.55</v>
      </c>
      <c r="C436">
        <v>12270</v>
      </c>
      <c r="D436">
        <v>4478.5499999999993</v>
      </c>
      <c r="E436" s="1">
        <v>41913</v>
      </c>
      <c r="F436">
        <v>10</v>
      </c>
      <c r="G436" s="2" t="s">
        <v>17</v>
      </c>
      <c r="H436">
        <v>2014</v>
      </c>
      <c r="I436">
        <v>13926.45</v>
      </c>
      <c r="J436">
        <v>0</v>
      </c>
      <c r="K436">
        <f t="shared" si="34"/>
        <v>-0.64618842392666365</v>
      </c>
      <c r="L436" t="str">
        <f t="shared" si="35"/>
        <v>Normal</v>
      </c>
      <c r="M436">
        <f t="shared" si="36"/>
        <v>0</v>
      </c>
      <c r="N436" s="2" t="str">
        <f t="shared" si="37"/>
        <v>Normal</v>
      </c>
      <c r="O436" s="2">
        <f t="shared" si="38"/>
        <v>0</v>
      </c>
      <c r="P436" s="2" t="str">
        <f t="shared" si="39"/>
        <v>Normal</v>
      </c>
    </row>
    <row r="437" spans="1:16" x14ac:dyDescent="0.35">
      <c r="A437">
        <v>9866.25</v>
      </c>
      <c r="B437">
        <v>99758.75</v>
      </c>
      <c r="C437">
        <v>105240</v>
      </c>
      <c r="D437">
        <v>-5481.25</v>
      </c>
      <c r="E437" s="1">
        <v>41944</v>
      </c>
      <c r="F437">
        <v>11</v>
      </c>
      <c r="G437" s="2" t="s">
        <v>19</v>
      </c>
      <c r="H437">
        <v>2014</v>
      </c>
      <c r="I437">
        <v>115106.25</v>
      </c>
      <c r="J437">
        <v>0</v>
      </c>
      <c r="K437">
        <f t="shared" si="34"/>
        <v>-0.29527878632893845</v>
      </c>
      <c r="L437" t="str">
        <f t="shared" si="35"/>
        <v>Normal</v>
      </c>
      <c r="M437">
        <f t="shared" si="36"/>
        <v>0</v>
      </c>
      <c r="N437" s="2" t="str">
        <f t="shared" si="37"/>
        <v>Normal</v>
      </c>
      <c r="O437" s="2">
        <f t="shared" si="38"/>
        <v>0</v>
      </c>
      <c r="P437" s="2" t="str">
        <f t="shared" si="39"/>
        <v>Normal</v>
      </c>
    </row>
    <row r="438" spans="1:16" x14ac:dyDescent="0.35">
      <c r="A438">
        <v>65236.5</v>
      </c>
      <c r="B438">
        <v>659613.5</v>
      </c>
      <c r="C438">
        <v>538460</v>
      </c>
      <c r="D438">
        <v>121153.5</v>
      </c>
      <c r="E438" s="1">
        <v>41883</v>
      </c>
      <c r="F438">
        <v>9</v>
      </c>
      <c r="G438" s="2" t="s">
        <v>16</v>
      </c>
      <c r="H438">
        <v>2014</v>
      </c>
      <c r="I438">
        <v>603696.5</v>
      </c>
      <c r="J438">
        <v>0</v>
      </c>
      <c r="K438">
        <f t="shared" si="34"/>
        <v>2.0713993740641823</v>
      </c>
      <c r="L438" t="str">
        <f t="shared" si="35"/>
        <v>Normal</v>
      </c>
      <c r="M438">
        <f t="shared" si="36"/>
        <v>0</v>
      </c>
      <c r="N438" s="2" t="str">
        <f t="shared" si="37"/>
        <v>Normal</v>
      </c>
      <c r="O438" s="2">
        <f t="shared" si="38"/>
        <v>0</v>
      </c>
      <c r="P438" s="2" t="str">
        <f t="shared" si="39"/>
        <v>Normal</v>
      </c>
    </row>
    <row r="439" spans="1:16" x14ac:dyDescent="0.35">
      <c r="A439">
        <v>39973.5</v>
      </c>
      <c r="B439">
        <v>404176.5</v>
      </c>
      <c r="C439">
        <v>329940</v>
      </c>
      <c r="D439">
        <v>74236.5</v>
      </c>
      <c r="E439" s="1">
        <v>41913</v>
      </c>
      <c r="F439">
        <v>10</v>
      </c>
      <c r="G439" s="2" t="s">
        <v>17</v>
      </c>
      <c r="H439">
        <v>2014</v>
      </c>
      <c r="I439">
        <v>369913.5</v>
      </c>
      <c r="J439">
        <v>0</v>
      </c>
      <c r="K439">
        <f t="shared" si="34"/>
        <v>0.99158863876839787</v>
      </c>
      <c r="L439" t="str">
        <f t="shared" si="35"/>
        <v>Normal</v>
      </c>
      <c r="M439">
        <f t="shared" si="36"/>
        <v>0</v>
      </c>
      <c r="N439" s="2" t="str">
        <f t="shared" si="37"/>
        <v>Normal</v>
      </c>
      <c r="O439" s="2">
        <f t="shared" si="38"/>
        <v>0</v>
      </c>
      <c r="P439" s="2" t="str">
        <f t="shared" si="39"/>
        <v>Normal</v>
      </c>
    </row>
    <row r="440" spans="1:16" x14ac:dyDescent="0.35">
      <c r="A440">
        <v>1309.5</v>
      </c>
      <c r="B440">
        <v>13240.5</v>
      </c>
      <c r="C440">
        <v>9700</v>
      </c>
      <c r="D440">
        <v>3540.5</v>
      </c>
      <c r="E440" s="1">
        <v>41579</v>
      </c>
      <c r="F440">
        <v>11</v>
      </c>
      <c r="G440" s="2" t="s">
        <v>19</v>
      </c>
      <c r="H440">
        <v>2013</v>
      </c>
      <c r="I440">
        <v>11009.5</v>
      </c>
      <c r="J440">
        <v>0</v>
      </c>
      <c r="K440">
        <f t="shared" si="34"/>
        <v>-0.66101802985671443</v>
      </c>
      <c r="L440" t="str">
        <f t="shared" si="35"/>
        <v>Normal</v>
      </c>
      <c r="M440">
        <f t="shared" si="36"/>
        <v>0</v>
      </c>
      <c r="N440" s="2" t="str">
        <f t="shared" si="37"/>
        <v>Normal</v>
      </c>
      <c r="O440" s="2">
        <f t="shared" si="38"/>
        <v>0</v>
      </c>
      <c r="P440" s="2" t="str">
        <f t="shared" si="39"/>
        <v>Normal</v>
      </c>
    </row>
    <row r="441" spans="1:16" x14ac:dyDescent="0.35">
      <c r="A441">
        <v>3049.2</v>
      </c>
      <c r="B441">
        <v>30830.799999999999</v>
      </c>
      <c r="C441">
        <v>16940</v>
      </c>
      <c r="D441">
        <v>13890.8</v>
      </c>
      <c r="E441" s="1">
        <v>41944</v>
      </c>
      <c r="F441">
        <v>11</v>
      </c>
      <c r="G441" s="2" t="s">
        <v>19</v>
      </c>
      <c r="H441">
        <v>2014</v>
      </c>
      <c r="I441">
        <v>19989.2</v>
      </c>
      <c r="J441">
        <v>0</v>
      </c>
      <c r="K441">
        <f t="shared" si="34"/>
        <v>-0.586658423468159</v>
      </c>
      <c r="L441" t="str">
        <f t="shared" si="35"/>
        <v>Normal</v>
      </c>
      <c r="M441">
        <f t="shared" si="36"/>
        <v>0</v>
      </c>
      <c r="N441" s="2" t="str">
        <f t="shared" si="37"/>
        <v>Normal</v>
      </c>
      <c r="O441" s="2">
        <f t="shared" si="38"/>
        <v>0</v>
      </c>
      <c r="P441" s="2" t="str">
        <f t="shared" si="39"/>
        <v>Normal</v>
      </c>
    </row>
    <row r="442" spans="1:16" x14ac:dyDescent="0.35">
      <c r="A442">
        <v>1193.4000000000001</v>
      </c>
      <c r="B442">
        <v>12066.6</v>
      </c>
      <c r="C442">
        <v>6630</v>
      </c>
      <c r="D442">
        <v>5436.6</v>
      </c>
      <c r="E442" s="1">
        <v>41760</v>
      </c>
      <c r="F442">
        <v>5</v>
      </c>
      <c r="G442" s="2" t="s">
        <v>21</v>
      </c>
      <c r="H442">
        <v>2014</v>
      </c>
      <c r="I442">
        <v>7823.4</v>
      </c>
      <c r="J442">
        <v>0</v>
      </c>
      <c r="K442">
        <f t="shared" si="34"/>
        <v>-0.66598046608233452</v>
      </c>
      <c r="L442" t="str">
        <f t="shared" si="35"/>
        <v>Normal</v>
      </c>
      <c r="M442">
        <f t="shared" si="36"/>
        <v>0</v>
      </c>
      <c r="N442" s="2" t="str">
        <f t="shared" si="37"/>
        <v>Normal</v>
      </c>
      <c r="O442" s="2">
        <f t="shared" si="38"/>
        <v>0</v>
      </c>
      <c r="P442" s="2" t="str">
        <f t="shared" si="39"/>
        <v>Normal</v>
      </c>
    </row>
    <row r="443" spans="1:16" x14ac:dyDescent="0.35">
      <c r="A443">
        <v>515.97</v>
      </c>
      <c r="B443">
        <v>5217.03</v>
      </c>
      <c r="C443">
        <v>4095</v>
      </c>
      <c r="D443">
        <v>1122.03</v>
      </c>
      <c r="E443" s="1">
        <v>41821</v>
      </c>
      <c r="F443">
        <v>7</v>
      </c>
      <c r="G443" s="2" t="s">
        <v>14</v>
      </c>
      <c r="H443">
        <v>2014</v>
      </c>
      <c r="I443">
        <v>4610.97</v>
      </c>
      <c r="J443">
        <v>0</v>
      </c>
      <c r="K443">
        <f t="shared" si="34"/>
        <v>-0.69493570443135966</v>
      </c>
      <c r="L443" t="str">
        <f t="shared" si="35"/>
        <v>Normal</v>
      </c>
      <c r="M443">
        <f t="shared" si="36"/>
        <v>0</v>
      </c>
      <c r="N443" s="2" t="str">
        <f t="shared" si="37"/>
        <v>Normal</v>
      </c>
      <c r="O443" s="2">
        <f t="shared" si="38"/>
        <v>0</v>
      </c>
      <c r="P443" s="2" t="str">
        <f t="shared" si="39"/>
        <v>Normal</v>
      </c>
    </row>
    <row r="444" spans="1:16" x14ac:dyDescent="0.35">
      <c r="A444">
        <v>1706.4</v>
      </c>
      <c r="B444">
        <v>17253.599999999999</v>
      </c>
      <c r="C444">
        <v>4740</v>
      </c>
      <c r="D444">
        <v>12513.599999999999</v>
      </c>
      <c r="E444" s="1">
        <v>41883</v>
      </c>
      <c r="F444">
        <v>9</v>
      </c>
      <c r="G444" s="2" t="s">
        <v>16</v>
      </c>
      <c r="H444">
        <v>2014</v>
      </c>
      <c r="I444">
        <v>6446.4</v>
      </c>
      <c r="J444">
        <v>0</v>
      </c>
      <c r="K444">
        <f t="shared" si="34"/>
        <v>-0.64405342229471074</v>
      </c>
      <c r="L444" t="str">
        <f t="shared" si="35"/>
        <v>Normal</v>
      </c>
      <c r="M444">
        <f t="shared" si="36"/>
        <v>0</v>
      </c>
      <c r="N444" s="2" t="str">
        <f t="shared" si="37"/>
        <v>Normal</v>
      </c>
      <c r="O444" s="2">
        <f t="shared" si="38"/>
        <v>0</v>
      </c>
      <c r="P444" s="2" t="str">
        <f t="shared" si="39"/>
        <v>Normal</v>
      </c>
    </row>
    <row r="445" spans="1:16" x14ac:dyDescent="0.35">
      <c r="A445">
        <v>328.23</v>
      </c>
      <c r="B445">
        <v>3318.77</v>
      </c>
      <c r="C445">
        <v>2605</v>
      </c>
      <c r="D445">
        <v>713.77</v>
      </c>
      <c r="E445" s="1">
        <v>41974</v>
      </c>
      <c r="F445">
        <v>12</v>
      </c>
      <c r="G445" s="2" t="s">
        <v>12</v>
      </c>
      <c r="H445">
        <v>2014</v>
      </c>
      <c r="I445">
        <v>2933.23</v>
      </c>
      <c r="J445">
        <v>0</v>
      </c>
      <c r="K445">
        <f t="shared" si="34"/>
        <v>-0.70296023308767253</v>
      </c>
      <c r="L445" t="str">
        <f t="shared" si="35"/>
        <v>Normal</v>
      </c>
      <c r="M445">
        <f t="shared" si="36"/>
        <v>0</v>
      </c>
      <c r="N445" s="2" t="str">
        <f t="shared" si="37"/>
        <v>Normal</v>
      </c>
      <c r="O445" s="2">
        <f t="shared" si="38"/>
        <v>0</v>
      </c>
      <c r="P445" s="2" t="str">
        <f t="shared" si="39"/>
        <v>Normal</v>
      </c>
    </row>
    <row r="446" spans="1:16" x14ac:dyDescent="0.35">
      <c r="A446">
        <v>1751.4</v>
      </c>
      <c r="B446">
        <v>17708.599999999999</v>
      </c>
      <c r="C446">
        <v>9730</v>
      </c>
      <c r="D446">
        <v>7978.5999999999985</v>
      </c>
      <c r="E446" s="1">
        <v>41699</v>
      </c>
      <c r="F446">
        <v>3</v>
      </c>
      <c r="G446" s="2" t="s">
        <v>13</v>
      </c>
      <c r="H446">
        <v>2014</v>
      </c>
      <c r="I446">
        <v>11481.4</v>
      </c>
      <c r="J446">
        <v>0</v>
      </c>
      <c r="K446">
        <f t="shared" si="34"/>
        <v>-0.64212999740105958</v>
      </c>
      <c r="L446" t="str">
        <f t="shared" si="35"/>
        <v>Normal</v>
      </c>
      <c r="M446">
        <f t="shared" si="36"/>
        <v>0</v>
      </c>
      <c r="N446" s="2" t="str">
        <f t="shared" si="37"/>
        <v>Normal</v>
      </c>
      <c r="O446" s="2">
        <f t="shared" si="38"/>
        <v>0</v>
      </c>
      <c r="P446" s="2" t="str">
        <f t="shared" si="39"/>
        <v>Normal</v>
      </c>
    </row>
    <row r="447" spans="1:16" x14ac:dyDescent="0.35">
      <c r="A447">
        <v>1868.4</v>
      </c>
      <c r="B447">
        <v>18891.599999999999</v>
      </c>
      <c r="C447">
        <v>10380</v>
      </c>
      <c r="D447">
        <v>8511.5999999999985</v>
      </c>
      <c r="E447" s="1">
        <v>41791</v>
      </c>
      <c r="F447">
        <v>6</v>
      </c>
      <c r="G447" s="2" t="s">
        <v>11</v>
      </c>
      <c r="H447">
        <v>2014</v>
      </c>
      <c r="I447">
        <v>12248.4</v>
      </c>
      <c r="J447">
        <v>0</v>
      </c>
      <c r="K447">
        <f t="shared" si="34"/>
        <v>-0.63712909267756646</v>
      </c>
      <c r="L447" t="str">
        <f t="shared" si="35"/>
        <v>Normal</v>
      </c>
      <c r="M447">
        <f t="shared" si="36"/>
        <v>0</v>
      </c>
      <c r="N447" s="2" t="str">
        <f t="shared" si="37"/>
        <v>Normal</v>
      </c>
      <c r="O447" s="2">
        <f t="shared" si="38"/>
        <v>0</v>
      </c>
      <c r="P447" s="2" t="str">
        <f t="shared" si="39"/>
        <v>Normal</v>
      </c>
    </row>
    <row r="448" spans="1:16" x14ac:dyDescent="0.35">
      <c r="A448">
        <v>226.8</v>
      </c>
      <c r="B448">
        <v>2293.1999999999998</v>
      </c>
      <c r="C448">
        <v>1800</v>
      </c>
      <c r="D448">
        <v>493.19999999999982</v>
      </c>
      <c r="E448" s="1">
        <v>41913</v>
      </c>
      <c r="F448">
        <v>10</v>
      </c>
      <c r="G448" s="2" t="s">
        <v>17</v>
      </c>
      <c r="H448">
        <v>2014</v>
      </c>
      <c r="I448">
        <v>2026.8</v>
      </c>
      <c r="J448">
        <v>0</v>
      </c>
      <c r="K448">
        <f t="shared" si="34"/>
        <v>-0.70729563279796226</v>
      </c>
      <c r="L448" t="str">
        <f t="shared" si="35"/>
        <v>Normal</v>
      </c>
      <c r="M448">
        <f t="shared" si="36"/>
        <v>0</v>
      </c>
      <c r="N448" s="2" t="str">
        <f t="shared" si="37"/>
        <v>Normal</v>
      </c>
      <c r="O448" s="2">
        <f t="shared" si="38"/>
        <v>0</v>
      </c>
      <c r="P448" s="2" t="str">
        <f t="shared" si="39"/>
        <v>Normal</v>
      </c>
    </row>
    <row r="449" spans="1:16" x14ac:dyDescent="0.35">
      <c r="A449">
        <v>2124.36</v>
      </c>
      <c r="B449">
        <v>21479.64</v>
      </c>
      <c r="C449">
        <v>5901</v>
      </c>
      <c r="D449">
        <v>15578.64</v>
      </c>
      <c r="E449" s="1">
        <v>41699</v>
      </c>
      <c r="F449">
        <v>3</v>
      </c>
      <c r="G449" s="2" t="s">
        <v>13</v>
      </c>
      <c r="H449">
        <v>2014</v>
      </c>
      <c r="I449">
        <v>8025.3600000000006</v>
      </c>
      <c r="J449">
        <v>0</v>
      </c>
      <c r="K449">
        <f t="shared" si="34"/>
        <v>-0.62618865188247852</v>
      </c>
      <c r="L449" t="str">
        <f t="shared" si="35"/>
        <v>Normal</v>
      </c>
      <c r="M449">
        <f t="shared" si="36"/>
        <v>0</v>
      </c>
      <c r="N449" s="2" t="str">
        <f t="shared" si="37"/>
        <v>Normal</v>
      </c>
      <c r="O449" s="2">
        <f t="shared" si="38"/>
        <v>0</v>
      </c>
      <c r="P449" s="2" t="str">
        <f t="shared" si="39"/>
        <v>Normal</v>
      </c>
    </row>
    <row r="450" spans="1:16" x14ac:dyDescent="0.35">
      <c r="A450">
        <v>3547.8</v>
      </c>
      <c r="B450">
        <v>35872.199999999997</v>
      </c>
      <c r="C450">
        <v>26280</v>
      </c>
      <c r="D450">
        <v>9592.1999999999971</v>
      </c>
      <c r="E450" s="1">
        <v>41730</v>
      </c>
      <c r="F450">
        <v>4</v>
      </c>
      <c r="G450" s="2" t="s">
        <v>20</v>
      </c>
      <c r="H450">
        <v>2014</v>
      </c>
      <c r="I450">
        <v>29827.8</v>
      </c>
      <c r="J450">
        <v>0</v>
      </c>
      <c r="K450">
        <f t="shared" ref="K450:K513" si="40">(B450 - $U$2) / $U$3</f>
        <v>-0.56534687564650365</v>
      </c>
      <c r="L450" t="str">
        <f t="shared" ref="L450:L513" si="41">IF(ABS(K450) &gt; 3, "Anomaly", "Normal")</f>
        <v>Normal</v>
      </c>
      <c r="M450">
        <f t="shared" ref="M450:M513" si="42">IFERROR((I450-$S$6)/$S$7,0)</f>
        <v>0</v>
      </c>
      <c r="N450" s="2" t="str">
        <f t="shared" ref="N450:N513" si="43">IF(ABS(M450) &gt; 3, "Anomaly", "Normal")</f>
        <v>Normal</v>
      </c>
      <c r="O450" s="2">
        <f t="shared" ref="O450:O513" si="44">IFERROR((J450-$Q$2)/$Q$3,0)</f>
        <v>0</v>
      </c>
      <c r="P450" s="2" t="str">
        <f t="shared" ref="P450:P513" si="45">IF(ABS(O450)&gt;3,"Anomaly","Normal")</f>
        <v>Normal</v>
      </c>
    </row>
    <row r="451" spans="1:16" x14ac:dyDescent="0.35">
      <c r="A451">
        <v>226.8</v>
      </c>
      <c r="B451">
        <v>2293.1999999999998</v>
      </c>
      <c r="C451">
        <v>1800</v>
      </c>
      <c r="D451">
        <v>493.19999999999982</v>
      </c>
      <c r="E451" s="1">
        <v>41913</v>
      </c>
      <c r="F451">
        <v>10</v>
      </c>
      <c r="G451" s="2" t="s">
        <v>17</v>
      </c>
      <c r="H451">
        <v>2014</v>
      </c>
      <c r="I451">
        <v>2026.8</v>
      </c>
      <c r="J451">
        <v>0</v>
      </c>
      <c r="K451">
        <f t="shared" si="40"/>
        <v>-0.70729563279796226</v>
      </c>
      <c r="L451" t="str">
        <f t="shared" si="41"/>
        <v>Normal</v>
      </c>
      <c r="M451">
        <f t="shared" si="42"/>
        <v>0</v>
      </c>
      <c r="N451" s="2" t="str">
        <f t="shared" si="43"/>
        <v>Normal</v>
      </c>
      <c r="O451" s="2">
        <f t="shared" si="44"/>
        <v>0</v>
      </c>
      <c r="P451" s="2" t="str">
        <f t="shared" si="45"/>
        <v>Normal</v>
      </c>
    </row>
    <row r="452" spans="1:16" x14ac:dyDescent="0.35">
      <c r="A452">
        <v>4827.6000000000004</v>
      </c>
      <c r="B452">
        <v>48812.4</v>
      </c>
      <c r="C452">
        <v>26820</v>
      </c>
      <c r="D452">
        <v>21992.400000000001</v>
      </c>
      <c r="E452" s="1">
        <v>41579</v>
      </c>
      <c r="F452">
        <v>11</v>
      </c>
      <c r="G452" s="2" t="s">
        <v>19</v>
      </c>
      <c r="H452">
        <v>2013</v>
      </c>
      <c r="I452">
        <v>31647.599999999999</v>
      </c>
      <c r="J452">
        <v>0</v>
      </c>
      <c r="K452">
        <f t="shared" si="40"/>
        <v>-0.51064467167106353</v>
      </c>
      <c r="L452" t="str">
        <f t="shared" si="41"/>
        <v>Normal</v>
      </c>
      <c r="M452">
        <f t="shared" si="42"/>
        <v>0</v>
      </c>
      <c r="N452" s="2" t="str">
        <f t="shared" si="43"/>
        <v>Normal</v>
      </c>
      <c r="O452" s="2">
        <f t="shared" si="44"/>
        <v>0</v>
      </c>
      <c r="P452" s="2" t="str">
        <f t="shared" si="45"/>
        <v>Normal</v>
      </c>
    </row>
    <row r="453" spans="1:16" x14ac:dyDescent="0.35">
      <c r="A453">
        <v>328.23</v>
      </c>
      <c r="B453">
        <v>3318.77</v>
      </c>
      <c r="C453">
        <v>2605</v>
      </c>
      <c r="D453">
        <v>713.77</v>
      </c>
      <c r="E453" s="1">
        <v>41974</v>
      </c>
      <c r="F453">
        <v>12</v>
      </c>
      <c r="G453" s="2" t="s">
        <v>12</v>
      </c>
      <c r="H453">
        <v>2014</v>
      </c>
      <c r="I453">
        <v>2933.23</v>
      </c>
      <c r="J453">
        <v>0</v>
      </c>
      <c r="K453">
        <f t="shared" si="40"/>
        <v>-0.70296023308767253</v>
      </c>
      <c r="L453" t="str">
        <f t="shared" si="41"/>
        <v>Normal</v>
      </c>
      <c r="M453">
        <f t="shared" si="42"/>
        <v>0</v>
      </c>
      <c r="N453" s="2" t="str">
        <f t="shared" si="43"/>
        <v>Normal</v>
      </c>
      <c r="O453" s="2">
        <f t="shared" si="44"/>
        <v>0</v>
      </c>
      <c r="P453" s="2" t="str">
        <f t="shared" si="45"/>
        <v>Normal</v>
      </c>
    </row>
    <row r="454" spans="1:16" x14ac:dyDescent="0.35">
      <c r="A454">
        <v>1868.4</v>
      </c>
      <c r="B454">
        <v>18891.599999999999</v>
      </c>
      <c r="C454">
        <v>10380</v>
      </c>
      <c r="D454">
        <v>8511.5999999999985</v>
      </c>
      <c r="E454" s="1">
        <v>41791</v>
      </c>
      <c r="F454">
        <v>6</v>
      </c>
      <c r="G454" s="2" t="s">
        <v>11</v>
      </c>
      <c r="H454">
        <v>2014</v>
      </c>
      <c r="I454">
        <v>12248.4</v>
      </c>
      <c r="J454">
        <v>0</v>
      </c>
      <c r="K454">
        <f t="shared" si="40"/>
        <v>-0.63712909267756646</v>
      </c>
      <c r="L454" t="str">
        <f t="shared" si="41"/>
        <v>Normal</v>
      </c>
      <c r="M454">
        <f t="shared" si="42"/>
        <v>0</v>
      </c>
      <c r="N454" s="2" t="str">
        <f t="shared" si="43"/>
        <v>Normal</v>
      </c>
      <c r="O454" s="2">
        <f t="shared" si="44"/>
        <v>0</v>
      </c>
      <c r="P454" s="2" t="str">
        <f t="shared" si="45"/>
        <v>Normal</v>
      </c>
    </row>
    <row r="455" spans="1:16" x14ac:dyDescent="0.35">
      <c r="A455">
        <v>2201.1750000000002</v>
      </c>
      <c r="B455">
        <v>22256.324999999997</v>
      </c>
      <c r="C455">
        <v>16305</v>
      </c>
      <c r="D455">
        <v>5951.3249999999989</v>
      </c>
      <c r="E455" s="1">
        <v>41821</v>
      </c>
      <c r="F455">
        <v>7</v>
      </c>
      <c r="G455" s="2" t="s">
        <v>14</v>
      </c>
      <c r="H455">
        <v>2014</v>
      </c>
      <c r="I455">
        <v>18506.174999999999</v>
      </c>
      <c r="J455">
        <v>0</v>
      </c>
      <c r="K455">
        <f t="shared" si="40"/>
        <v>-0.62290536558901588</v>
      </c>
      <c r="L455" t="str">
        <f t="shared" si="41"/>
        <v>Normal</v>
      </c>
      <c r="M455">
        <f t="shared" si="42"/>
        <v>0</v>
      </c>
      <c r="N455" s="2" t="str">
        <f t="shared" si="43"/>
        <v>Normal</v>
      </c>
      <c r="O455" s="2">
        <f t="shared" si="44"/>
        <v>0</v>
      </c>
      <c r="P455" s="2" t="str">
        <f t="shared" si="45"/>
        <v>Normal</v>
      </c>
    </row>
    <row r="456" spans="1:16" x14ac:dyDescent="0.35">
      <c r="A456">
        <v>330.48</v>
      </c>
      <c r="B456">
        <v>3341.52</v>
      </c>
      <c r="C456">
        <v>918</v>
      </c>
      <c r="D456">
        <v>2423.52</v>
      </c>
      <c r="E456" s="1">
        <v>41609</v>
      </c>
      <c r="F456">
        <v>12</v>
      </c>
      <c r="G456" s="2" t="s">
        <v>12</v>
      </c>
      <c r="H456">
        <v>2013</v>
      </c>
      <c r="I456">
        <v>1248.48</v>
      </c>
      <c r="J456">
        <v>0</v>
      </c>
      <c r="K456">
        <f t="shared" si="40"/>
        <v>-0.70286406184299</v>
      </c>
      <c r="L456" t="str">
        <f t="shared" si="41"/>
        <v>Normal</v>
      </c>
      <c r="M456">
        <f t="shared" si="42"/>
        <v>0</v>
      </c>
      <c r="N456" s="2" t="str">
        <f t="shared" si="43"/>
        <v>Normal</v>
      </c>
      <c r="O456" s="2">
        <f t="shared" si="44"/>
        <v>0</v>
      </c>
      <c r="P456" s="2" t="str">
        <f t="shared" si="45"/>
        <v>Normal</v>
      </c>
    </row>
    <row r="457" spans="1:16" x14ac:dyDescent="0.35">
      <c r="A457">
        <v>463.2</v>
      </c>
      <c r="B457">
        <v>4168.8</v>
      </c>
      <c r="C457">
        <v>1158</v>
      </c>
      <c r="D457">
        <v>3010.8</v>
      </c>
      <c r="E457" s="1">
        <v>41548</v>
      </c>
      <c r="F457">
        <v>10</v>
      </c>
      <c r="G457" s="2" t="s">
        <v>17</v>
      </c>
      <c r="H457">
        <v>2013</v>
      </c>
      <c r="I457">
        <v>1621.2</v>
      </c>
      <c r="J457">
        <v>0</v>
      </c>
      <c r="K457">
        <f t="shared" si="40"/>
        <v>-0.69936689492866078</v>
      </c>
      <c r="L457" t="str">
        <f t="shared" si="41"/>
        <v>Normal</v>
      </c>
      <c r="M457">
        <f t="shared" si="42"/>
        <v>0</v>
      </c>
      <c r="N457" s="2" t="str">
        <f t="shared" si="43"/>
        <v>Normal</v>
      </c>
      <c r="O457" s="2">
        <f t="shared" si="44"/>
        <v>0</v>
      </c>
      <c r="P457" s="2" t="str">
        <f t="shared" si="45"/>
        <v>Normal</v>
      </c>
    </row>
    <row r="458" spans="1:16" x14ac:dyDescent="0.35">
      <c r="A458">
        <v>1629.6</v>
      </c>
      <c r="B458">
        <v>14666.4</v>
      </c>
      <c r="C458">
        <v>11640</v>
      </c>
      <c r="D458">
        <v>3026.3999999999996</v>
      </c>
      <c r="E458" s="1">
        <v>41883</v>
      </c>
      <c r="F458">
        <v>9</v>
      </c>
      <c r="G458" s="2" t="s">
        <v>16</v>
      </c>
      <c r="H458">
        <v>2014</v>
      </c>
      <c r="I458">
        <v>13269.6</v>
      </c>
      <c r="J458">
        <v>0</v>
      </c>
      <c r="K458">
        <f t="shared" si="40"/>
        <v>-0.65499031215153369</v>
      </c>
      <c r="L458" t="str">
        <f t="shared" si="41"/>
        <v>Normal</v>
      </c>
      <c r="M458">
        <f t="shared" si="42"/>
        <v>0</v>
      </c>
      <c r="N458" s="2" t="str">
        <f t="shared" si="43"/>
        <v>Normal</v>
      </c>
      <c r="O458" s="2">
        <f t="shared" si="44"/>
        <v>0</v>
      </c>
      <c r="P458" s="2" t="str">
        <f t="shared" si="45"/>
        <v>Normal</v>
      </c>
    </row>
    <row r="459" spans="1:16" x14ac:dyDescent="0.35">
      <c r="A459">
        <v>463.2</v>
      </c>
      <c r="B459">
        <v>4168.8</v>
      </c>
      <c r="C459">
        <v>1158</v>
      </c>
      <c r="D459">
        <v>3010.8</v>
      </c>
      <c r="E459" s="1">
        <v>41548</v>
      </c>
      <c r="F459">
        <v>10</v>
      </c>
      <c r="G459" s="2" t="s">
        <v>17</v>
      </c>
      <c r="H459">
        <v>2013</v>
      </c>
      <c r="I459">
        <v>1621.2</v>
      </c>
      <c r="J459">
        <v>0</v>
      </c>
      <c r="K459">
        <f t="shared" si="40"/>
        <v>-0.69936689492866078</v>
      </c>
      <c r="L459" t="str">
        <f t="shared" si="41"/>
        <v>Normal</v>
      </c>
      <c r="M459">
        <f t="shared" si="42"/>
        <v>0</v>
      </c>
      <c r="N459" s="2" t="str">
        <f t="shared" si="43"/>
        <v>Normal</v>
      </c>
      <c r="O459" s="2">
        <f t="shared" si="44"/>
        <v>0</v>
      </c>
      <c r="P459" s="2" t="str">
        <f t="shared" si="45"/>
        <v>Normal</v>
      </c>
    </row>
    <row r="460" spans="1:16" x14ac:dyDescent="0.35">
      <c r="A460">
        <v>43068.75</v>
      </c>
      <c r="B460">
        <v>387618.75</v>
      </c>
      <c r="C460">
        <v>413460</v>
      </c>
      <c r="D460">
        <v>-25841.25</v>
      </c>
      <c r="E460" s="1">
        <v>41730</v>
      </c>
      <c r="F460">
        <v>4</v>
      </c>
      <c r="G460" s="2" t="s">
        <v>20</v>
      </c>
      <c r="H460">
        <v>2014</v>
      </c>
      <c r="I460">
        <v>456528.75</v>
      </c>
      <c r="J460">
        <v>0</v>
      </c>
      <c r="K460">
        <f t="shared" si="40"/>
        <v>0.9215939386961931</v>
      </c>
      <c r="L460" t="str">
        <f t="shared" si="41"/>
        <v>Normal</v>
      </c>
      <c r="M460">
        <f t="shared" si="42"/>
        <v>0</v>
      </c>
      <c r="N460" s="2" t="str">
        <f t="shared" si="43"/>
        <v>Normal</v>
      </c>
      <c r="O460" s="2">
        <f t="shared" si="44"/>
        <v>0</v>
      </c>
      <c r="P460" s="2" t="str">
        <f t="shared" si="45"/>
        <v>Normal</v>
      </c>
    </row>
    <row r="461" spans="1:16" x14ac:dyDescent="0.35">
      <c r="A461">
        <v>18525</v>
      </c>
      <c r="B461">
        <v>166725</v>
      </c>
      <c r="C461">
        <v>177840</v>
      </c>
      <c r="D461">
        <v>-11115</v>
      </c>
      <c r="E461" s="1">
        <v>41609</v>
      </c>
      <c r="F461">
        <v>12</v>
      </c>
      <c r="G461" s="2" t="s">
        <v>12</v>
      </c>
      <c r="H461">
        <v>2013</v>
      </c>
      <c r="I461">
        <v>196365</v>
      </c>
      <c r="J461">
        <v>0</v>
      </c>
      <c r="K461">
        <f t="shared" si="40"/>
        <v>-1.2191858231202671E-2</v>
      </c>
      <c r="L461" t="str">
        <f t="shared" si="41"/>
        <v>Normal</v>
      </c>
      <c r="M461">
        <f t="shared" si="42"/>
        <v>0</v>
      </c>
      <c r="N461" s="2" t="str">
        <f t="shared" si="43"/>
        <v>Normal</v>
      </c>
      <c r="O461" s="2">
        <f t="shared" si="44"/>
        <v>0</v>
      </c>
      <c r="P461" s="2" t="str">
        <f t="shared" si="45"/>
        <v>Normal</v>
      </c>
    </row>
    <row r="462" spans="1:16" x14ac:dyDescent="0.35">
      <c r="A462">
        <v>80955</v>
      </c>
      <c r="B462">
        <v>728595</v>
      </c>
      <c r="C462">
        <v>601380</v>
      </c>
      <c r="D462">
        <v>127215</v>
      </c>
      <c r="E462" s="1">
        <v>41760</v>
      </c>
      <c r="F462">
        <v>5</v>
      </c>
      <c r="G462" s="2" t="s">
        <v>21</v>
      </c>
      <c r="H462">
        <v>2014</v>
      </c>
      <c r="I462">
        <v>682335</v>
      </c>
      <c r="J462">
        <v>0</v>
      </c>
      <c r="K462">
        <f t="shared" si="40"/>
        <v>2.3630053835178093</v>
      </c>
      <c r="L462" t="str">
        <f t="shared" si="41"/>
        <v>Normal</v>
      </c>
      <c r="M462">
        <f t="shared" si="42"/>
        <v>0</v>
      </c>
      <c r="N462" s="2" t="str">
        <f t="shared" si="43"/>
        <v>Normal</v>
      </c>
      <c r="O462" s="2">
        <f t="shared" si="44"/>
        <v>0</v>
      </c>
      <c r="P462" s="2" t="str">
        <f t="shared" si="45"/>
        <v>Normal</v>
      </c>
    </row>
    <row r="463" spans="1:16" x14ac:dyDescent="0.35">
      <c r="A463">
        <v>22550</v>
      </c>
      <c r="B463">
        <v>202950</v>
      </c>
      <c r="C463">
        <v>216480</v>
      </c>
      <c r="D463">
        <v>-13530</v>
      </c>
      <c r="E463" s="1">
        <v>41579</v>
      </c>
      <c r="F463">
        <v>11</v>
      </c>
      <c r="G463" s="2" t="s">
        <v>19</v>
      </c>
      <c r="H463">
        <v>2013</v>
      </c>
      <c r="I463">
        <v>239030</v>
      </c>
      <c r="J463">
        <v>0</v>
      </c>
      <c r="K463">
        <f t="shared" si="40"/>
        <v>0.14094235445564299</v>
      </c>
      <c r="L463" t="str">
        <f t="shared" si="41"/>
        <v>Normal</v>
      </c>
      <c r="M463">
        <f t="shared" si="42"/>
        <v>0</v>
      </c>
      <c r="N463" s="2" t="str">
        <f t="shared" si="43"/>
        <v>Normal</v>
      </c>
      <c r="O463" s="2">
        <f t="shared" si="44"/>
        <v>0</v>
      </c>
      <c r="P463" s="2" t="str">
        <f t="shared" si="45"/>
        <v>Normal</v>
      </c>
    </row>
    <row r="464" spans="1:16" x14ac:dyDescent="0.35">
      <c r="A464">
        <v>3108</v>
      </c>
      <c r="B464">
        <v>27972</v>
      </c>
      <c r="C464">
        <v>20720</v>
      </c>
      <c r="D464">
        <v>7252</v>
      </c>
      <c r="E464" s="1">
        <v>41974</v>
      </c>
      <c r="F464">
        <v>12</v>
      </c>
      <c r="G464" s="2" t="s">
        <v>12</v>
      </c>
      <c r="H464">
        <v>2014</v>
      </c>
      <c r="I464">
        <v>23828</v>
      </c>
      <c r="J464">
        <v>0</v>
      </c>
      <c r="K464">
        <f t="shared" si="40"/>
        <v>-0.59874345003073048</v>
      </c>
      <c r="L464" t="str">
        <f t="shared" si="41"/>
        <v>Normal</v>
      </c>
      <c r="M464">
        <f t="shared" si="42"/>
        <v>0</v>
      </c>
      <c r="N464" s="2" t="str">
        <f t="shared" si="43"/>
        <v>Normal</v>
      </c>
      <c r="O464" s="2">
        <f t="shared" si="44"/>
        <v>0</v>
      </c>
      <c r="P464" s="2" t="str">
        <f t="shared" si="45"/>
        <v>Normal</v>
      </c>
    </row>
    <row r="465" spans="1:16" x14ac:dyDescent="0.35">
      <c r="A465">
        <v>3908</v>
      </c>
      <c r="B465">
        <v>35172</v>
      </c>
      <c r="C465">
        <v>19540</v>
      </c>
      <c r="D465">
        <v>15632</v>
      </c>
      <c r="E465" s="1">
        <v>41699</v>
      </c>
      <c r="F465">
        <v>3</v>
      </c>
      <c r="G465" s="2" t="s">
        <v>13</v>
      </c>
      <c r="H465">
        <v>2014</v>
      </c>
      <c r="I465">
        <v>23448</v>
      </c>
      <c r="J465">
        <v>0</v>
      </c>
      <c r="K465">
        <f t="shared" si="40"/>
        <v>-0.56830683632899714</v>
      </c>
      <c r="L465" t="str">
        <f t="shared" si="41"/>
        <v>Normal</v>
      </c>
      <c r="M465">
        <f t="shared" si="42"/>
        <v>0</v>
      </c>
      <c r="N465" s="2" t="str">
        <f t="shared" si="43"/>
        <v>Normal</v>
      </c>
      <c r="O465" s="2">
        <f t="shared" si="44"/>
        <v>0</v>
      </c>
      <c r="P465" s="2" t="str">
        <f t="shared" si="45"/>
        <v>Normal</v>
      </c>
    </row>
    <row r="466" spans="1:16" x14ac:dyDescent="0.35">
      <c r="A466">
        <v>17730</v>
      </c>
      <c r="B466">
        <v>159570</v>
      </c>
      <c r="C466">
        <v>147750</v>
      </c>
      <c r="D466">
        <v>11820</v>
      </c>
      <c r="E466" s="1">
        <v>41760</v>
      </c>
      <c r="F466">
        <v>5</v>
      </c>
      <c r="G466" s="2" t="s">
        <v>21</v>
      </c>
      <c r="H466">
        <v>2014</v>
      </c>
      <c r="I466">
        <v>165480</v>
      </c>
      <c r="J466">
        <v>0</v>
      </c>
      <c r="K466">
        <f t="shared" si="40"/>
        <v>-4.2438243097300134E-2</v>
      </c>
      <c r="L466" t="str">
        <f t="shared" si="41"/>
        <v>Normal</v>
      </c>
      <c r="M466">
        <f t="shared" si="42"/>
        <v>0</v>
      </c>
      <c r="N466" s="2" t="str">
        <f t="shared" si="43"/>
        <v>Normal</v>
      </c>
      <c r="O466" s="2">
        <f t="shared" si="44"/>
        <v>0</v>
      </c>
      <c r="P466" s="2" t="str">
        <f t="shared" si="45"/>
        <v>Normal</v>
      </c>
    </row>
    <row r="467" spans="1:16" x14ac:dyDescent="0.35">
      <c r="A467">
        <v>3250.5</v>
      </c>
      <c r="B467">
        <v>29254.5</v>
      </c>
      <c r="C467">
        <v>21670</v>
      </c>
      <c r="D467">
        <v>7584.5</v>
      </c>
      <c r="E467" s="1">
        <v>41548</v>
      </c>
      <c r="F467">
        <v>10</v>
      </c>
      <c r="G467" s="2" t="s">
        <v>17</v>
      </c>
      <c r="H467">
        <v>2013</v>
      </c>
      <c r="I467">
        <v>24920.5</v>
      </c>
      <c r="J467">
        <v>0</v>
      </c>
      <c r="K467">
        <f t="shared" si="40"/>
        <v>-0.59332192821510921</v>
      </c>
      <c r="L467" t="str">
        <f t="shared" si="41"/>
        <v>Normal</v>
      </c>
      <c r="M467">
        <f t="shared" si="42"/>
        <v>0</v>
      </c>
      <c r="N467" s="2" t="str">
        <f t="shared" si="43"/>
        <v>Normal</v>
      </c>
      <c r="O467" s="2">
        <f t="shared" si="44"/>
        <v>0</v>
      </c>
      <c r="P467" s="2" t="str">
        <f t="shared" si="45"/>
        <v>Normal</v>
      </c>
    </row>
    <row r="468" spans="1:16" x14ac:dyDescent="0.35">
      <c r="A468">
        <v>482</v>
      </c>
      <c r="B468">
        <v>4338</v>
      </c>
      <c r="C468">
        <v>2410</v>
      </c>
      <c r="D468">
        <v>1928</v>
      </c>
      <c r="E468" s="1">
        <v>41913</v>
      </c>
      <c r="F468">
        <v>10</v>
      </c>
      <c r="G468" s="2" t="s">
        <v>17</v>
      </c>
      <c r="H468">
        <v>2014</v>
      </c>
      <c r="I468">
        <v>2892</v>
      </c>
      <c r="J468">
        <v>0</v>
      </c>
      <c r="K468">
        <f t="shared" si="40"/>
        <v>-0.69865163450667001</v>
      </c>
      <c r="L468" t="str">
        <f t="shared" si="41"/>
        <v>Normal</v>
      </c>
      <c r="M468">
        <f t="shared" si="42"/>
        <v>0</v>
      </c>
      <c r="N468" s="2" t="str">
        <f t="shared" si="43"/>
        <v>Normal</v>
      </c>
      <c r="O468" s="2">
        <f t="shared" si="44"/>
        <v>0</v>
      </c>
      <c r="P468" s="2" t="str">
        <f t="shared" si="45"/>
        <v>Normal</v>
      </c>
    </row>
    <row r="469" spans="1:16" x14ac:dyDescent="0.35">
      <c r="A469">
        <v>1021.5</v>
      </c>
      <c r="B469">
        <v>9193.5</v>
      </c>
      <c r="C469">
        <v>6810</v>
      </c>
      <c r="D469">
        <v>2383.5</v>
      </c>
      <c r="E469" s="1">
        <v>41640</v>
      </c>
      <c r="F469">
        <v>1</v>
      </c>
      <c r="G469" s="2" t="s">
        <v>10</v>
      </c>
      <c r="H469">
        <v>2014</v>
      </c>
      <c r="I469">
        <v>7831.5</v>
      </c>
      <c r="J469">
        <v>0</v>
      </c>
      <c r="K469">
        <f t="shared" si="40"/>
        <v>-0.6781259431415636</v>
      </c>
      <c r="L469" t="str">
        <f t="shared" si="41"/>
        <v>Normal</v>
      </c>
      <c r="M469">
        <f t="shared" si="42"/>
        <v>0</v>
      </c>
      <c r="N469" s="2" t="str">
        <f t="shared" si="43"/>
        <v>Normal</v>
      </c>
      <c r="O469" s="2">
        <f t="shared" si="44"/>
        <v>0</v>
      </c>
      <c r="P469" s="2" t="str">
        <f t="shared" si="45"/>
        <v>Normal</v>
      </c>
    </row>
    <row r="470" spans="1:16" x14ac:dyDescent="0.35">
      <c r="A470">
        <v>765</v>
      </c>
      <c r="B470">
        <v>6885</v>
      </c>
      <c r="C470">
        <v>5100</v>
      </c>
      <c r="D470">
        <v>1785</v>
      </c>
      <c r="E470" s="1">
        <v>41730</v>
      </c>
      <c r="F470">
        <v>4</v>
      </c>
      <c r="G470" s="2" t="s">
        <v>20</v>
      </c>
      <c r="H470">
        <v>2014</v>
      </c>
      <c r="I470">
        <v>5865</v>
      </c>
      <c r="J470">
        <v>0</v>
      </c>
      <c r="K470">
        <f t="shared" si="40"/>
        <v>-0.68788468240968192</v>
      </c>
      <c r="L470" t="str">
        <f t="shared" si="41"/>
        <v>Normal</v>
      </c>
      <c r="M470">
        <f t="shared" si="42"/>
        <v>0</v>
      </c>
      <c r="N470" s="2" t="str">
        <f t="shared" si="43"/>
        <v>Normal</v>
      </c>
      <c r="O470" s="2">
        <f t="shared" si="44"/>
        <v>0</v>
      </c>
      <c r="P470" s="2" t="str">
        <f t="shared" si="45"/>
        <v>Normal</v>
      </c>
    </row>
    <row r="471" spans="1:16" x14ac:dyDescent="0.35">
      <c r="A471">
        <v>1185</v>
      </c>
      <c r="B471">
        <v>10665</v>
      </c>
      <c r="C471">
        <v>7900</v>
      </c>
      <c r="D471">
        <v>2765</v>
      </c>
      <c r="E471" s="1">
        <v>41760</v>
      </c>
      <c r="F471">
        <v>5</v>
      </c>
      <c r="G471" s="2" t="s">
        <v>21</v>
      </c>
      <c r="H471">
        <v>2014</v>
      </c>
      <c r="I471">
        <v>9085</v>
      </c>
      <c r="J471">
        <v>0</v>
      </c>
      <c r="K471">
        <f t="shared" si="40"/>
        <v>-0.67190546021627195</v>
      </c>
      <c r="L471" t="str">
        <f t="shared" si="41"/>
        <v>Normal</v>
      </c>
      <c r="M471">
        <f t="shared" si="42"/>
        <v>0</v>
      </c>
      <c r="N471" s="2" t="str">
        <f t="shared" si="43"/>
        <v>Normal</v>
      </c>
      <c r="O471" s="2">
        <f t="shared" si="44"/>
        <v>0</v>
      </c>
      <c r="P471" s="2" t="str">
        <f t="shared" si="45"/>
        <v>Normal</v>
      </c>
    </row>
    <row r="472" spans="1:16" x14ac:dyDescent="0.35">
      <c r="A472">
        <v>22365</v>
      </c>
      <c r="B472">
        <v>201285</v>
      </c>
      <c r="C472">
        <v>166140</v>
      </c>
      <c r="D472">
        <v>35145</v>
      </c>
      <c r="E472" s="1">
        <v>41821</v>
      </c>
      <c r="F472">
        <v>7</v>
      </c>
      <c r="G472" s="2" t="s">
        <v>14</v>
      </c>
      <c r="H472">
        <v>2014</v>
      </c>
      <c r="I472">
        <v>188505</v>
      </c>
      <c r="J472">
        <v>0</v>
      </c>
      <c r="K472">
        <f t="shared" si="40"/>
        <v>0.13390388753711716</v>
      </c>
      <c r="L472" t="str">
        <f t="shared" si="41"/>
        <v>Normal</v>
      </c>
      <c r="M472">
        <f t="shared" si="42"/>
        <v>0</v>
      </c>
      <c r="N472" s="2" t="str">
        <f t="shared" si="43"/>
        <v>Normal</v>
      </c>
      <c r="O472" s="2">
        <f t="shared" si="44"/>
        <v>0</v>
      </c>
      <c r="P472" s="2" t="str">
        <f t="shared" si="45"/>
        <v>Normal</v>
      </c>
    </row>
    <row r="473" spans="1:16" x14ac:dyDescent="0.35">
      <c r="A473">
        <v>19950</v>
      </c>
      <c r="B473">
        <v>179550</v>
      </c>
      <c r="C473">
        <v>191520</v>
      </c>
      <c r="D473">
        <v>-11970</v>
      </c>
      <c r="E473" s="1">
        <v>41883</v>
      </c>
      <c r="F473">
        <v>9</v>
      </c>
      <c r="G473" s="2" t="s">
        <v>16</v>
      </c>
      <c r="H473">
        <v>2014</v>
      </c>
      <c r="I473">
        <v>211470</v>
      </c>
      <c r="J473">
        <v>0</v>
      </c>
      <c r="K473">
        <f t="shared" si="40"/>
        <v>4.2023359925009766E-2</v>
      </c>
      <c r="L473" t="str">
        <f t="shared" si="41"/>
        <v>Normal</v>
      </c>
      <c r="M473">
        <f t="shared" si="42"/>
        <v>0</v>
      </c>
      <c r="N473" s="2" t="str">
        <f t="shared" si="43"/>
        <v>Normal</v>
      </c>
      <c r="O473" s="2">
        <f t="shared" si="44"/>
        <v>0</v>
      </c>
      <c r="P473" s="2" t="str">
        <f t="shared" si="45"/>
        <v>Normal</v>
      </c>
    </row>
    <row r="474" spans="1:16" x14ac:dyDescent="0.35">
      <c r="A474">
        <v>68820</v>
      </c>
      <c r="B474">
        <v>619380</v>
      </c>
      <c r="C474">
        <v>573500</v>
      </c>
      <c r="D474">
        <v>45880</v>
      </c>
      <c r="E474" s="1">
        <v>41548</v>
      </c>
      <c r="F474">
        <v>10</v>
      </c>
      <c r="G474" s="2" t="s">
        <v>17</v>
      </c>
      <c r="H474">
        <v>2013</v>
      </c>
      <c r="I474">
        <v>642320</v>
      </c>
      <c r="J474">
        <v>0</v>
      </c>
      <c r="K474">
        <f t="shared" si="40"/>
        <v>1.9013199994296426</v>
      </c>
      <c r="L474" t="str">
        <f t="shared" si="41"/>
        <v>Normal</v>
      </c>
      <c r="M474">
        <f t="shared" si="42"/>
        <v>0</v>
      </c>
      <c r="N474" s="2" t="str">
        <f t="shared" si="43"/>
        <v>Normal</v>
      </c>
      <c r="O474" s="2">
        <f t="shared" si="44"/>
        <v>0</v>
      </c>
      <c r="P474" s="2" t="str">
        <f t="shared" si="45"/>
        <v>Normal</v>
      </c>
    </row>
    <row r="475" spans="1:16" x14ac:dyDescent="0.35">
      <c r="A475">
        <v>482</v>
      </c>
      <c r="B475">
        <v>4338</v>
      </c>
      <c r="C475">
        <v>2410</v>
      </c>
      <c r="D475">
        <v>1928</v>
      </c>
      <c r="E475" s="1">
        <v>41913</v>
      </c>
      <c r="F475">
        <v>10</v>
      </c>
      <c r="G475" s="2" t="s">
        <v>17</v>
      </c>
      <c r="H475">
        <v>2014</v>
      </c>
      <c r="I475">
        <v>2892</v>
      </c>
      <c r="J475">
        <v>0</v>
      </c>
      <c r="K475">
        <f t="shared" si="40"/>
        <v>-0.69865163450667001</v>
      </c>
      <c r="L475" t="str">
        <f t="shared" si="41"/>
        <v>Normal</v>
      </c>
      <c r="M475">
        <f t="shared" si="42"/>
        <v>0</v>
      </c>
      <c r="N475" s="2" t="str">
        <f t="shared" si="43"/>
        <v>Normal</v>
      </c>
      <c r="O475" s="2">
        <f t="shared" si="44"/>
        <v>0</v>
      </c>
      <c r="P475" s="2" t="str">
        <f t="shared" si="45"/>
        <v>Normal</v>
      </c>
    </row>
    <row r="476" spans="1:16" x14ac:dyDescent="0.35">
      <c r="A476">
        <v>1865.5</v>
      </c>
      <c r="B476">
        <v>16789.5</v>
      </c>
      <c r="C476">
        <v>13325</v>
      </c>
      <c r="D476">
        <v>3464.5</v>
      </c>
      <c r="E476" s="1">
        <v>41944</v>
      </c>
      <c r="F476">
        <v>11</v>
      </c>
      <c r="G476" s="2" t="s">
        <v>19</v>
      </c>
      <c r="H476">
        <v>2014</v>
      </c>
      <c r="I476">
        <v>15190.5</v>
      </c>
      <c r="J476">
        <v>0</v>
      </c>
      <c r="K476">
        <f t="shared" si="40"/>
        <v>-0.64601531568623505</v>
      </c>
      <c r="L476" t="str">
        <f t="shared" si="41"/>
        <v>Normal</v>
      </c>
      <c r="M476">
        <f t="shared" si="42"/>
        <v>0</v>
      </c>
      <c r="N476" s="2" t="str">
        <f t="shared" si="43"/>
        <v>Normal</v>
      </c>
      <c r="O476" s="2">
        <f t="shared" si="44"/>
        <v>0</v>
      </c>
      <c r="P476" s="2" t="str">
        <f t="shared" si="45"/>
        <v>Normal</v>
      </c>
    </row>
    <row r="477" spans="1:16" x14ac:dyDescent="0.35">
      <c r="A477">
        <v>23950</v>
      </c>
      <c r="B477">
        <v>215550</v>
      </c>
      <c r="C477">
        <v>229920</v>
      </c>
      <c r="D477">
        <v>-14370</v>
      </c>
      <c r="E477" s="1">
        <v>41609</v>
      </c>
      <c r="F477">
        <v>12</v>
      </c>
      <c r="G477" s="2" t="s">
        <v>12</v>
      </c>
      <c r="H477">
        <v>2013</v>
      </c>
      <c r="I477">
        <v>253870</v>
      </c>
      <c r="J477">
        <v>0</v>
      </c>
      <c r="K477">
        <f t="shared" si="40"/>
        <v>0.19420642843367625</v>
      </c>
      <c r="L477" t="str">
        <f t="shared" si="41"/>
        <v>Normal</v>
      </c>
      <c r="M477">
        <f t="shared" si="42"/>
        <v>0</v>
      </c>
      <c r="N477" s="2" t="str">
        <f t="shared" si="43"/>
        <v>Normal</v>
      </c>
      <c r="O477" s="2">
        <f t="shared" si="44"/>
        <v>0</v>
      </c>
      <c r="P477" s="2" t="str">
        <f t="shared" si="45"/>
        <v>Normal</v>
      </c>
    </row>
    <row r="478" spans="1:16" x14ac:dyDescent="0.35">
      <c r="A478">
        <v>25590</v>
      </c>
      <c r="B478">
        <v>230310</v>
      </c>
      <c r="C478">
        <v>213250</v>
      </c>
      <c r="D478">
        <v>17060</v>
      </c>
      <c r="E478" s="1">
        <v>41974</v>
      </c>
      <c r="F478">
        <v>12</v>
      </c>
      <c r="G478" s="2" t="s">
        <v>12</v>
      </c>
      <c r="H478">
        <v>2014</v>
      </c>
      <c r="I478">
        <v>238840</v>
      </c>
      <c r="J478">
        <v>0</v>
      </c>
      <c r="K478">
        <f t="shared" si="40"/>
        <v>0.25660148652222953</v>
      </c>
      <c r="L478" t="str">
        <f t="shared" si="41"/>
        <v>Normal</v>
      </c>
      <c r="M478">
        <f t="shared" si="42"/>
        <v>0</v>
      </c>
      <c r="N478" s="2" t="str">
        <f t="shared" si="43"/>
        <v>Normal</v>
      </c>
      <c r="O478" s="2">
        <f t="shared" si="44"/>
        <v>0</v>
      </c>
      <c r="P478" s="2" t="str">
        <f t="shared" si="45"/>
        <v>Normal</v>
      </c>
    </row>
    <row r="479" spans="1:16" x14ac:dyDescent="0.35">
      <c r="A479">
        <v>4262.5</v>
      </c>
      <c r="B479">
        <v>38362.5</v>
      </c>
      <c r="C479">
        <v>40920</v>
      </c>
      <c r="D479">
        <v>-2557.5</v>
      </c>
      <c r="E479" s="1">
        <v>41760</v>
      </c>
      <c r="F479">
        <v>5</v>
      </c>
      <c r="G479" s="2" t="s">
        <v>21</v>
      </c>
      <c r="H479">
        <v>2014</v>
      </c>
      <c r="I479">
        <v>45182.5</v>
      </c>
      <c r="J479">
        <v>0</v>
      </c>
      <c r="K479">
        <f t="shared" si="40"/>
        <v>-0.55481961188241657</v>
      </c>
      <c r="L479" t="str">
        <f t="shared" si="41"/>
        <v>Normal</v>
      </c>
      <c r="M479">
        <f t="shared" si="42"/>
        <v>0</v>
      </c>
      <c r="N479" s="2" t="str">
        <f t="shared" si="43"/>
        <v>Normal</v>
      </c>
      <c r="O479" s="2">
        <f t="shared" si="44"/>
        <v>0</v>
      </c>
      <c r="P479" s="2" t="str">
        <f t="shared" si="45"/>
        <v>Normal</v>
      </c>
    </row>
    <row r="480" spans="1:16" x14ac:dyDescent="0.35">
      <c r="A480">
        <v>961.5</v>
      </c>
      <c r="B480">
        <v>8653.5</v>
      </c>
      <c r="C480">
        <v>6410</v>
      </c>
      <c r="D480">
        <v>2243.5</v>
      </c>
      <c r="E480" s="1">
        <v>41821</v>
      </c>
      <c r="F480">
        <v>7</v>
      </c>
      <c r="G480" s="2" t="s">
        <v>14</v>
      </c>
      <c r="H480">
        <v>2014</v>
      </c>
      <c r="I480">
        <v>7371.5</v>
      </c>
      <c r="J480">
        <v>0</v>
      </c>
      <c r="K480">
        <f t="shared" si="40"/>
        <v>-0.68040868916919361</v>
      </c>
      <c r="L480" t="str">
        <f t="shared" si="41"/>
        <v>Normal</v>
      </c>
      <c r="M480">
        <f t="shared" si="42"/>
        <v>0</v>
      </c>
      <c r="N480" s="2" t="str">
        <f t="shared" si="43"/>
        <v>Normal</v>
      </c>
      <c r="O480" s="2">
        <f t="shared" si="44"/>
        <v>0</v>
      </c>
      <c r="P480" s="2" t="str">
        <f t="shared" si="45"/>
        <v>Normal</v>
      </c>
    </row>
    <row r="481" spans="1:16" x14ac:dyDescent="0.35">
      <c r="A481">
        <v>98245</v>
      </c>
      <c r="B481">
        <v>884205</v>
      </c>
      <c r="C481">
        <v>729820</v>
      </c>
      <c r="D481">
        <v>154385</v>
      </c>
      <c r="E481" s="1">
        <v>41852</v>
      </c>
      <c r="F481">
        <v>8</v>
      </c>
      <c r="G481" s="2" t="s">
        <v>15</v>
      </c>
      <c r="H481">
        <v>2014</v>
      </c>
      <c r="I481">
        <v>828065</v>
      </c>
      <c r="J481">
        <v>0</v>
      </c>
      <c r="K481">
        <f t="shared" si="40"/>
        <v>3.0208166971465205</v>
      </c>
      <c r="L481" t="str">
        <f t="shared" si="41"/>
        <v>Anomaly</v>
      </c>
      <c r="M481">
        <f t="shared" si="42"/>
        <v>0</v>
      </c>
      <c r="N481" s="2" t="str">
        <f t="shared" si="43"/>
        <v>Normal</v>
      </c>
      <c r="O481" s="2">
        <f t="shared" si="44"/>
        <v>0</v>
      </c>
      <c r="P481" s="2" t="str">
        <f t="shared" si="45"/>
        <v>Normal</v>
      </c>
    </row>
    <row r="482" spans="1:16" x14ac:dyDescent="0.35">
      <c r="A482">
        <v>12960</v>
      </c>
      <c r="B482">
        <v>116640</v>
      </c>
      <c r="C482">
        <v>108000</v>
      </c>
      <c r="D482">
        <v>8640</v>
      </c>
      <c r="E482" s="1">
        <v>41883</v>
      </c>
      <c r="F482">
        <v>9</v>
      </c>
      <c r="G482" s="2" t="s">
        <v>16</v>
      </c>
      <c r="H482">
        <v>2014</v>
      </c>
      <c r="I482">
        <v>120960</v>
      </c>
      <c r="J482">
        <v>0</v>
      </c>
      <c r="K482">
        <f t="shared" si="40"/>
        <v>-0.22391655229388494</v>
      </c>
      <c r="L482" t="str">
        <f t="shared" si="41"/>
        <v>Normal</v>
      </c>
      <c r="M482">
        <f t="shared" si="42"/>
        <v>0</v>
      </c>
      <c r="N482" s="2" t="str">
        <f t="shared" si="43"/>
        <v>Normal</v>
      </c>
      <c r="O482" s="2">
        <f t="shared" si="44"/>
        <v>0</v>
      </c>
      <c r="P482" s="2" t="str">
        <f t="shared" si="45"/>
        <v>Normal</v>
      </c>
    </row>
    <row r="483" spans="1:16" x14ac:dyDescent="0.35">
      <c r="A483">
        <v>68820</v>
      </c>
      <c r="B483">
        <v>619380</v>
      </c>
      <c r="C483">
        <v>573500</v>
      </c>
      <c r="D483">
        <v>45880</v>
      </c>
      <c r="E483" s="1">
        <v>41548</v>
      </c>
      <c r="F483">
        <v>10</v>
      </c>
      <c r="G483" s="2" t="s">
        <v>17</v>
      </c>
      <c r="H483">
        <v>2013</v>
      </c>
      <c r="I483">
        <v>642320</v>
      </c>
      <c r="J483">
        <v>0</v>
      </c>
      <c r="K483">
        <f t="shared" si="40"/>
        <v>1.9013199994296426</v>
      </c>
      <c r="L483" t="str">
        <f t="shared" si="41"/>
        <v>Normal</v>
      </c>
      <c r="M483">
        <f t="shared" si="42"/>
        <v>0</v>
      </c>
      <c r="N483" s="2" t="str">
        <f t="shared" si="43"/>
        <v>Normal</v>
      </c>
      <c r="O483" s="2">
        <f t="shared" si="44"/>
        <v>0</v>
      </c>
      <c r="P483" s="2" t="str">
        <f t="shared" si="45"/>
        <v>Normal</v>
      </c>
    </row>
    <row r="484" spans="1:16" x14ac:dyDescent="0.35">
      <c r="A484">
        <v>3250.5</v>
      </c>
      <c r="B484">
        <v>29254.5</v>
      </c>
      <c r="C484">
        <v>21670</v>
      </c>
      <c r="D484">
        <v>7584.5</v>
      </c>
      <c r="E484" s="1">
        <v>41548</v>
      </c>
      <c r="F484">
        <v>10</v>
      </c>
      <c r="G484" s="2" t="s">
        <v>17</v>
      </c>
      <c r="H484">
        <v>2013</v>
      </c>
      <c r="I484">
        <v>24920.5</v>
      </c>
      <c r="J484">
        <v>0</v>
      </c>
      <c r="K484">
        <f t="shared" si="40"/>
        <v>-0.59332192821510921</v>
      </c>
      <c r="L484" t="str">
        <f t="shared" si="41"/>
        <v>Normal</v>
      </c>
      <c r="M484">
        <f t="shared" si="42"/>
        <v>0</v>
      </c>
      <c r="N484" s="2" t="str">
        <f t="shared" si="43"/>
        <v>Normal</v>
      </c>
      <c r="O484" s="2">
        <f t="shared" si="44"/>
        <v>0</v>
      </c>
      <c r="P484" s="2" t="str">
        <f t="shared" si="45"/>
        <v>Normal</v>
      </c>
    </row>
    <row r="485" spans="1:16" x14ac:dyDescent="0.35">
      <c r="A485">
        <v>31612.5</v>
      </c>
      <c r="B485">
        <v>284512.5</v>
      </c>
      <c r="C485">
        <v>303480</v>
      </c>
      <c r="D485">
        <v>-18967.5</v>
      </c>
      <c r="E485" s="1">
        <v>41944</v>
      </c>
      <c r="F485">
        <v>11</v>
      </c>
      <c r="G485" s="2" t="s">
        <v>19</v>
      </c>
      <c r="H485">
        <v>2014</v>
      </c>
      <c r="I485">
        <v>335092.5</v>
      </c>
      <c r="J485">
        <v>0</v>
      </c>
      <c r="K485">
        <f t="shared" si="40"/>
        <v>0.48573211904559049</v>
      </c>
      <c r="L485" t="str">
        <f t="shared" si="41"/>
        <v>Normal</v>
      </c>
      <c r="M485">
        <f t="shared" si="42"/>
        <v>0</v>
      </c>
      <c r="N485" s="2" t="str">
        <f t="shared" si="43"/>
        <v>Normal</v>
      </c>
      <c r="O485" s="2">
        <f t="shared" si="44"/>
        <v>0</v>
      </c>
      <c r="P485" s="2" t="str">
        <f t="shared" si="45"/>
        <v>Normal</v>
      </c>
    </row>
    <row r="486" spans="1:16" x14ac:dyDescent="0.35">
      <c r="A486">
        <v>65450</v>
      </c>
      <c r="B486">
        <v>589050</v>
      </c>
      <c r="C486">
        <v>486200</v>
      </c>
      <c r="D486">
        <v>102850</v>
      </c>
      <c r="E486" s="1">
        <v>41609</v>
      </c>
      <c r="F486">
        <v>12</v>
      </c>
      <c r="G486" s="2" t="s">
        <v>12</v>
      </c>
      <c r="H486">
        <v>2013</v>
      </c>
      <c r="I486">
        <v>551650</v>
      </c>
      <c r="J486">
        <v>0</v>
      </c>
      <c r="K486">
        <f t="shared" si="40"/>
        <v>1.773105764211091</v>
      </c>
      <c r="L486" t="str">
        <f t="shared" si="41"/>
        <v>Normal</v>
      </c>
      <c r="M486">
        <f t="shared" si="42"/>
        <v>0</v>
      </c>
      <c r="N486" s="2" t="str">
        <f t="shared" si="43"/>
        <v>Normal</v>
      </c>
      <c r="O486" s="2">
        <f t="shared" si="44"/>
        <v>0</v>
      </c>
      <c r="P486" s="2" t="str">
        <f t="shared" si="45"/>
        <v>Normal</v>
      </c>
    </row>
    <row r="487" spans="1:16" x14ac:dyDescent="0.35">
      <c r="A487">
        <v>7237.5</v>
      </c>
      <c r="B487">
        <v>65137.5</v>
      </c>
      <c r="C487">
        <v>69480</v>
      </c>
      <c r="D487">
        <v>-4342.5</v>
      </c>
      <c r="E487" s="1">
        <v>41640</v>
      </c>
      <c r="F487">
        <v>1</v>
      </c>
      <c r="G487" s="2" t="s">
        <v>10</v>
      </c>
      <c r="H487">
        <v>2014</v>
      </c>
      <c r="I487">
        <v>76717.5</v>
      </c>
      <c r="J487">
        <v>0</v>
      </c>
      <c r="K487">
        <f t="shared" si="40"/>
        <v>-0.44163345467909593</v>
      </c>
      <c r="L487" t="str">
        <f t="shared" si="41"/>
        <v>Normal</v>
      </c>
      <c r="M487">
        <f t="shared" si="42"/>
        <v>0</v>
      </c>
      <c r="N487" s="2" t="str">
        <f t="shared" si="43"/>
        <v>Normal</v>
      </c>
      <c r="O487" s="2">
        <f t="shared" si="44"/>
        <v>0</v>
      </c>
      <c r="P487" s="2" t="str">
        <f t="shared" si="45"/>
        <v>Normal</v>
      </c>
    </row>
    <row r="488" spans="1:16" x14ac:dyDescent="0.35">
      <c r="A488">
        <v>78400</v>
      </c>
      <c r="B488">
        <v>705600</v>
      </c>
      <c r="C488">
        <v>582400</v>
      </c>
      <c r="D488">
        <v>123200</v>
      </c>
      <c r="E488" s="1">
        <v>41671</v>
      </c>
      <c r="F488">
        <v>2</v>
      </c>
      <c r="G488" s="2" t="s">
        <v>18</v>
      </c>
      <c r="H488">
        <v>2014</v>
      </c>
      <c r="I488">
        <v>660800</v>
      </c>
      <c r="J488">
        <v>0</v>
      </c>
      <c r="K488">
        <f t="shared" si="40"/>
        <v>2.2657984485078986</v>
      </c>
      <c r="L488" t="str">
        <f t="shared" si="41"/>
        <v>Normal</v>
      </c>
      <c r="M488">
        <f t="shared" si="42"/>
        <v>0</v>
      </c>
      <c r="N488" s="2" t="str">
        <f t="shared" si="43"/>
        <v>Normal</v>
      </c>
      <c r="O488" s="2">
        <f t="shared" si="44"/>
        <v>0</v>
      </c>
      <c r="P488" s="2" t="str">
        <f t="shared" si="45"/>
        <v>Normal</v>
      </c>
    </row>
    <row r="489" spans="1:16" x14ac:dyDescent="0.35">
      <c r="A489">
        <v>89790</v>
      </c>
      <c r="B489">
        <v>808110</v>
      </c>
      <c r="C489">
        <v>748250</v>
      </c>
      <c r="D489">
        <v>59860</v>
      </c>
      <c r="E489" s="1">
        <v>41699</v>
      </c>
      <c r="F489">
        <v>3</v>
      </c>
      <c r="G489" s="2" t="s">
        <v>13</v>
      </c>
      <c r="H489">
        <v>2014</v>
      </c>
      <c r="I489">
        <v>838040</v>
      </c>
      <c r="J489">
        <v>0</v>
      </c>
      <c r="K489">
        <f t="shared" si="40"/>
        <v>2.6991397360863267</v>
      </c>
      <c r="L489" t="str">
        <f t="shared" si="41"/>
        <v>Normal</v>
      </c>
      <c r="M489">
        <f t="shared" si="42"/>
        <v>0</v>
      </c>
      <c r="N489" s="2" t="str">
        <f t="shared" si="43"/>
        <v>Normal</v>
      </c>
      <c r="O489" s="2">
        <f t="shared" si="44"/>
        <v>0</v>
      </c>
      <c r="P489" s="2" t="str">
        <f t="shared" si="45"/>
        <v>Normal</v>
      </c>
    </row>
    <row r="490" spans="1:16" x14ac:dyDescent="0.35">
      <c r="A490">
        <v>4224.6000000000004</v>
      </c>
      <c r="B490">
        <v>38021.399999999994</v>
      </c>
      <c r="C490">
        <v>10561.5</v>
      </c>
      <c r="D490">
        <v>27459.899999999998</v>
      </c>
      <c r="E490" s="1">
        <v>41730</v>
      </c>
      <c r="F490">
        <v>4</v>
      </c>
      <c r="G490" s="2" t="s">
        <v>20</v>
      </c>
      <c r="H490">
        <v>2014</v>
      </c>
      <c r="I490">
        <v>14786.1</v>
      </c>
      <c r="J490">
        <v>0</v>
      </c>
      <c r="K490">
        <f t="shared" si="40"/>
        <v>-0.55626154645653625</v>
      </c>
      <c r="L490" t="str">
        <f t="shared" si="41"/>
        <v>Normal</v>
      </c>
      <c r="M490">
        <f t="shared" si="42"/>
        <v>0</v>
      </c>
      <c r="N490" s="2" t="str">
        <f t="shared" si="43"/>
        <v>Normal</v>
      </c>
      <c r="O490" s="2">
        <f t="shared" si="44"/>
        <v>0</v>
      </c>
      <c r="P490" s="2" t="str">
        <f t="shared" si="45"/>
        <v>Normal</v>
      </c>
    </row>
    <row r="491" spans="1:16" x14ac:dyDescent="0.35">
      <c r="A491">
        <v>4078</v>
      </c>
      <c r="B491">
        <v>36702</v>
      </c>
      <c r="C491">
        <v>20390</v>
      </c>
      <c r="D491">
        <v>16312</v>
      </c>
      <c r="E491" s="1">
        <v>41760</v>
      </c>
      <c r="F491">
        <v>5</v>
      </c>
      <c r="G491" s="2" t="s">
        <v>21</v>
      </c>
      <c r="H491">
        <v>2014</v>
      </c>
      <c r="I491">
        <v>24468</v>
      </c>
      <c r="J491">
        <v>0</v>
      </c>
      <c r="K491">
        <f t="shared" si="40"/>
        <v>-0.56183905591737882</v>
      </c>
      <c r="L491" t="str">
        <f t="shared" si="41"/>
        <v>Normal</v>
      </c>
      <c r="M491">
        <f t="shared" si="42"/>
        <v>0</v>
      </c>
      <c r="N491" s="2" t="str">
        <f t="shared" si="43"/>
        <v>Normal</v>
      </c>
      <c r="O491" s="2">
        <f t="shared" si="44"/>
        <v>0</v>
      </c>
      <c r="P491" s="2" t="str">
        <f t="shared" si="45"/>
        <v>Normal</v>
      </c>
    </row>
    <row r="492" spans="1:16" x14ac:dyDescent="0.35">
      <c r="A492">
        <v>3088.8</v>
      </c>
      <c r="B492">
        <v>27799.200000000001</v>
      </c>
      <c r="C492">
        <v>7722</v>
      </c>
      <c r="D492">
        <v>20077.2</v>
      </c>
      <c r="E492" s="1">
        <v>41852</v>
      </c>
      <c r="F492">
        <v>8</v>
      </c>
      <c r="G492" s="2" t="s">
        <v>15</v>
      </c>
      <c r="H492">
        <v>2014</v>
      </c>
      <c r="I492">
        <v>10810.8</v>
      </c>
      <c r="J492">
        <v>0</v>
      </c>
      <c r="K492">
        <f t="shared" si="40"/>
        <v>-0.59947392875957206</v>
      </c>
      <c r="L492" t="str">
        <f t="shared" si="41"/>
        <v>Normal</v>
      </c>
      <c r="M492">
        <f t="shared" si="42"/>
        <v>0</v>
      </c>
      <c r="N492" s="2" t="str">
        <f t="shared" si="43"/>
        <v>Normal</v>
      </c>
      <c r="O492" s="2">
        <f t="shared" si="44"/>
        <v>0</v>
      </c>
      <c r="P492" s="2" t="str">
        <f t="shared" si="45"/>
        <v>Normal</v>
      </c>
    </row>
    <row r="493" spans="1:16" x14ac:dyDescent="0.35">
      <c r="A493">
        <v>24745</v>
      </c>
      <c r="B493">
        <v>222705</v>
      </c>
      <c r="C493">
        <v>183820</v>
      </c>
      <c r="D493">
        <v>38885</v>
      </c>
      <c r="E493" s="1">
        <v>41883</v>
      </c>
      <c r="F493">
        <v>9</v>
      </c>
      <c r="G493" s="2" t="s">
        <v>16</v>
      </c>
      <c r="H493">
        <v>2014</v>
      </c>
      <c r="I493">
        <v>208565</v>
      </c>
      <c r="J493">
        <v>0</v>
      </c>
      <c r="K493">
        <f t="shared" si="40"/>
        <v>0.22445281329977373</v>
      </c>
      <c r="L493" t="str">
        <f t="shared" si="41"/>
        <v>Normal</v>
      </c>
      <c r="M493">
        <f t="shared" si="42"/>
        <v>0</v>
      </c>
      <c r="N493" s="2" t="str">
        <f t="shared" si="43"/>
        <v>Normal</v>
      </c>
      <c r="O493" s="2">
        <f t="shared" si="44"/>
        <v>0</v>
      </c>
      <c r="P493" s="2" t="str">
        <f t="shared" si="45"/>
        <v>Normal</v>
      </c>
    </row>
    <row r="494" spans="1:16" x14ac:dyDescent="0.35">
      <c r="A494">
        <v>3108</v>
      </c>
      <c r="B494">
        <v>27972</v>
      </c>
      <c r="C494">
        <v>20720</v>
      </c>
      <c r="D494">
        <v>7252</v>
      </c>
      <c r="E494" s="1">
        <v>41974</v>
      </c>
      <c r="F494">
        <v>12</v>
      </c>
      <c r="G494" s="2" t="s">
        <v>12</v>
      </c>
      <c r="H494">
        <v>2014</v>
      </c>
      <c r="I494">
        <v>23828</v>
      </c>
      <c r="J494">
        <v>0</v>
      </c>
      <c r="K494">
        <f t="shared" si="40"/>
        <v>-0.59874345003073048</v>
      </c>
      <c r="L494" t="str">
        <f t="shared" si="41"/>
        <v>Normal</v>
      </c>
      <c r="M494">
        <f t="shared" si="42"/>
        <v>0</v>
      </c>
      <c r="N494" s="2" t="str">
        <f t="shared" si="43"/>
        <v>Normal</v>
      </c>
      <c r="O494" s="2">
        <f t="shared" si="44"/>
        <v>0</v>
      </c>
      <c r="P494" s="2" t="str">
        <f t="shared" si="45"/>
        <v>Normal</v>
      </c>
    </row>
    <row r="495" spans="1:16" x14ac:dyDescent="0.35">
      <c r="A495">
        <v>25590</v>
      </c>
      <c r="B495">
        <v>230310</v>
      </c>
      <c r="C495">
        <v>213250</v>
      </c>
      <c r="D495">
        <v>17060</v>
      </c>
      <c r="E495" s="1">
        <v>41974</v>
      </c>
      <c r="F495">
        <v>12</v>
      </c>
      <c r="G495" s="2" t="s">
        <v>12</v>
      </c>
      <c r="H495">
        <v>2014</v>
      </c>
      <c r="I495">
        <v>238840</v>
      </c>
      <c r="J495">
        <v>0</v>
      </c>
      <c r="K495">
        <f t="shared" si="40"/>
        <v>0.25660148652222953</v>
      </c>
      <c r="L495" t="str">
        <f t="shared" si="41"/>
        <v>Normal</v>
      </c>
      <c r="M495">
        <f t="shared" si="42"/>
        <v>0</v>
      </c>
      <c r="N495" s="2" t="str">
        <f t="shared" si="43"/>
        <v>Normal</v>
      </c>
      <c r="O495" s="2">
        <f t="shared" si="44"/>
        <v>0</v>
      </c>
      <c r="P495" s="2" t="str">
        <f t="shared" si="45"/>
        <v>Normal</v>
      </c>
    </row>
    <row r="496" spans="1:16" x14ac:dyDescent="0.35">
      <c r="A496">
        <v>1581.36</v>
      </c>
      <c r="B496">
        <v>12794.64</v>
      </c>
      <c r="C496">
        <v>3594</v>
      </c>
      <c r="D496">
        <v>9200.64</v>
      </c>
      <c r="E496" s="1">
        <v>41548</v>
      </c>
      <c r="F496">
        <v>10</v>
      </c>
      <c r="G496" s="2" t="s">
        <v>17</v>
      </c>
      <c r="H496">
        <v>2013</v>
      </c>
      <c r="I496">
        <v>5175.3599999999997</v>
      </c>
      <c r="J496">
        <v>0</v>
      </c>
      <c r="K496">
        <f t="shared" si="40"/>
        <v>-0.66290281716019428</v>
      </c>
      <c r="L496" t="str">
        <f t="shared" si="41"/>
        <v>Normal</v>
      </c>
      <c r="M496">
        <f t="shared" si="42"/>
        <v>0</v>
      </c>
      <c r="N496" s="2" t="str">
        <f t="shared" si="43"/>
        <v>Normal</v>
      </c>
      <c r="O496" s="2">
        <f t="shared" si="44"/>
        <v>0</v>
      </c>
      <c r="P496" s="2" t="str">
        <f t="shared" si="45"/>
        <v>Normal</v>
      </c>
    </row>
    <row r="497" spans="1:16" x14ac:dyDescent="0.35">
      <c r="A497">
        <v>1949.6399999999999</v>
      </c>
      <c r="B497">
        <v>15774.36</v>
      </c>
      <c r="C497">
        <v>12660</v>
      </c>
      <c r="D497">
        <v>3114.3599999999997</v>
      </c>
      <c r="E497" s="1">
        <v>41730</v>
      </c>
      <c r="F497">
        <v>4</v>
      </c>
      <c r="G497" s="2" t="s">
        <v>20</v>
      </c>
      <c r="H497">
        <v>2014</v>
      </c>
      <c r="I497">
        <v>14609.64</v>
      </c>
      <c r="J497">
        <v>0</v>
      </c>
      <c r="K497">
        <f t="shared" si="40"/>
        <v>-0.65030662457973187</v>
      </c>
      <c r="L497" t="str">
        <f t="shared" si="41"/>
        <v>Normal</v>
      </c>
      <c r="M497">
        <f t="shared" si="42"/>
        <v>0</v>
      </c>
      <c r="N497" s="2" t="str">
        <f t="shared" si="43"/>
        <v>Normal</v>
      </c>
      <c r="O497" s="2">
        <f t="shared" si="44"/>
        <v>0</v>
      </c>
      <c r="P497" s="2" t="str">
        <f t="shared" si="45"/>
        <v>Normal</v>
      </c>
    </row>
    <row r="498" spans="1:16" x14ac:dyDescent="0.35">
      <c r="A498">
        <v>1581.36</v>
      </c>
      <c r="B498">
        <v>12794.64</v>
      </c>
      <c r="C498">
        <v>3594</v>
      </c>
      <c r="D498">
        <v>9200.64</v>
      </c>
      <c r="E498" s="1">
        <v>41548</v>
      </c>
      <c r="F498">
        <v>10</v>
      </c>
      <c r="G498" s="2" t="s">
        <v>17</v>
      </c>
      <c r="H498">
        <v>2013</v>
      </c>
      <c r="I498">
        <v>5175.3599999999997</v>
      </c>
      <c r="J498">
        <v>0</v>
      </c>
      <c r="K498">
        <f t="shared" si="40"/>
        <v>-0.66290281716019428</v>
      </c>
      <c r="L498" t="str">
        <f t="shared" si="41"/>
        <v>Normal</v>
      </c>
      <c r="M498">
        <f t="shared" si="42"/>
        <v>0</v>
      </c>
      <c r="N498" s="2" t="str">
        <f t="shared" si="43"/>
        <v>Normal</v>
      </c>
      <c r="O498" s="2">
        <f t="shared" si="44"/>
        <v>0</v>
      </c>
      <c r="P498" s="2" t="str">
        <f t="shared" si="45"/>
        <v>Normal</v>
      </c>
    </row>
    <row r="499" spans="1:16" x14ac:dyDescent="0.35">
      <c r="A499">
        <v>633.59999999999991</v>
      </c>
      <c r="B499">
        <v>5126.3999999999996</v>
      </c>
      <c r="C499">
        <v>3840</v>
      </c>
      <c r="D499">
        <v>1286.3999999999999</v>
      </c>
      <c r="E499" s="1">
        <v>41640</v>
      </c>
      <c r="F499">
        <v>1</v>
      </c>
      <c r="G499" s="2" t="s">
        <v>10</v>
      </c>
      <c r="H499">
        <v>2014</v>
      </c>
      <c r="I499">
        <v>4473.6000000000004</v>
      </c>
      <c r="J499">
        <v>0</v>
      </c>
      <c r="K499">
        <f t="shared" si="40"/>
        <v>-0.69531882530633027</v>
      </c>
      <c r="L499" t="str">
        <f t="shared" si="41"/>
        <v>Normal</v>
      </c>
      <c r="M499">
        <f t="shared" si="42"/>
        <v>0</v>
      </c>
      <c r="N499" s="2" t="str">
        <f t="shared" si="43"/>
        <v>Normal</v>
      </c>
      <c r="O499" s="2">
        <f t="shared" si="44"/>
        <v>0</v>
      </c>
      <c r="P499" s="2" t="str">
        <f t="shared" si="45"/>
        <v>Normal</v>
      </c>
    </row>
    <row r="500" spans="1:16" x14ac:dyDescent="0.35">
      <c r="A500">
        <v>623.04</v>
      </c>
      <c r="B500">
        <v>5040.96</v>
      </c>
      <c r="C500">
        <v>1416</v>
      </c>
      <c r="D500">
        <v>3624.96</v>
      </c>
      <c r="E500" s="1">
        <v>41913</v>
      </c>
      <c r="F500">
        <v>10</v>
      </c>
      <c r="G500" s="2" t="s">
        <v>17</v>
      </c>
      <c r="H500">
        <v>2014</v>
      </c>
      <c r="I500">
        <v>2039.04</v>
      </c>
      <c r="J500">
        <v>0</v>
      </c>
      <c r="K500">
        <f t="shared" si="40"/>
        <v>-0.6956800064555908</v>
      </c>
      <c r="L500" t="str">
        <f t="shared" si="41"/>
        <v>Normal</v>
      </c>
      <c r="M500">
        <f t="shared" si="42"/>
        <v>0</v>
      </c>
      <c r="N500" s="2" t="str">
        <f t="shared" si="43"/>
        <v>Normal</v>
      </c>
      <c r="O500" s="2">
        <f t="shared" si="44"/>
        <v>0</v>
      </c>
      <c r="P500" s="2" t="str">
        <f t="shared" si="45"/>
        <v>Normal</v>
      </c>
    </row>
    <row r="501" spans="1:16" x14ac:dyDescent="0.35">
      <c r="A501">
        <v>1215.83</v>
      </c>
      <c r="B501">
        <v>9837.17</v>
      </c>
      <c r="C501">
        <v>7895</v>
      </c>
      <c r="D501">
        <v>1942.17</v>
      </c>
      <c r="E501" s="1">
        <v>41699</v>
      </c>
      <c r="F501">
        <v>3</v>
      </c>
      <c r="G501" s="2" t="s">
        <v>13</v>
      </c>
      <c r="H501">
        <v>2014</v>
      </c>
      <c r="I501">
        <v>9110.83</v>
      </c>
      <c r="J501">
        <v>0</v>
      </c>
      <c r="K501">
        <f t="shared" si="40"/>
        <v>-0.6754049521497032</v>
      </c>
      <c r="L501" t="str">
        <f t="shared" si="41"/>
        <v>Normal</v>
      </c>
      <c r="M501">
        <f t="shared" si="42"/>
        <v>0</v>
      </c>
      <c r="N501" s="2" t="str">
        <f t="shared" si="43"/>
        <v>Normal</v>
      </c>
      <c r="O501" s="2">
        <f t="shared" si="44"/>
        <v>0</v>
      </c>
      <c r="P501" s="2" t="str">
        <f t="shared" si="45"/>
        <v>Normal</v>
      </c>
    </row>
    <row r="502" spans="1:16" x14ac:dyDescent="0.35">
      <c r="A502">
        <v>1326.6</v>
      </c>
      <c r="B502">
        <v>10733.4</v>
      </c>
      <c r="C502">
        <v>3015</v>
      </c>
      <c r="D502">
        <v>7718.4</v>
      </c>
      <c r="E502" s="1">
        <v>41518</v>
      </c>
      <c r="F502">
        <v>9</v>
      </c>
      <c r="G502" s="2" t="s">
        <v>16</v>
      </c>
      <c r="H502">
        <v>2013</v>
      </c>
      <c r="I502">
        <v>4341.6000000000004</v>
      </c>
      <c r="J502">
        <v>0</v>
      </c>
      <c r="K502">
        <f t="shared" si="40"/>
        <v>-0.67161631238610542</v>
      </c>
      <c r="L502" t="str">
        <f t="shared" si="41"/>
        <v>Normal</v>
      </c>
      <c r="M502">
        <f t="shared" si="42"/>
        <v>0</v>
      </c>
      <c r="N502" s="2" t="str">
        <f t="shared" si="43"/>
        <v>Normal</v>
      </c>
      <c r="O502" s="2">
        <f t="shared" si="44"/>
        <v>0</v>
      </c>
      <c r="P502" s="2" t="str">
        <f t="shared" si="45"/>
        <v>Normal</v>
      </c>
    </row>
    <row r="503" spans="1:16" x14ac:dyDescent="0.35">
      <c r="A503">
        <v>5279.1749999999993</v>
      </c>
      <c r="B503">
        <v>42713.324999999997</v>
      </c>
      <c r="C503">
        <v>31995</v>
      </c>
      <c r="D503">
        <v>10718.324999999999</v>
      </c>
      <c r="E503" s="1">
        <v>41821</v>
      </c>
      <c r="F503">
        <v>7</v>
      </c>
      <c r="G503" s="2" t="s">
        <v>14</v>
      </c>
      <c r="H503">
        <v>2014</v>
      </c>
      <c r="I503">
        <v>37274.175000000003</v>
      </c>
      <c r="J503">
        <v>0</v>
      </c>
      <c r="K503">
        <f t="shared" si="40"/>
        <v>-0.53642733690896616</v>
      </c>
      <c r="L503" t="str">
        <f t="shared" si="41"/>
        <v>Normal</v>
      </c>
      <c r="M503">
        <f t="shared" si="42"/>
        <v>0</v>
      </c>
      <c r="N503" s="2" t="str">
        <f t="shared" si="43"/>
        <v>Normal</v>
      </c>
      <c r="O503" s="2">
        <f t="shared" si="44"/>
        <v>0</v>
      </c>
      <c r="P503" s="2" t="str">
        <f t="shared" si="45"/>
        <v>Normal</v>
      </c>
    </row>
    <row r="504" spans="1:16" x14ac:dyDescent="0.35">
      <c r="A504">
        <v>623.04</v>
      </c>
      <c r="B504">
        <v>5040.96</v>
      </c>
      <c r="C504">
        <v>1416</v>
      </c>
      <c r="D504">
        <v>3624.96</v>
      </c>
      <c r="E504" s="1">
        <v>41913</v>
      </c>
      <c r="F504">
        <v>10</v>
      </c>
      <c r="G504" s="2" t="s">
        <v>17</v>
      </c>
      <c r="H504">
        <v>2014</v>
      </c>
      <c r="I504">
        <v>2039.04</v>
      </c>
      <c r="J504">
        <v>0</v>
      </c>
      <c r="K504">
        <f t="shared" si="40"/>
        <v>-0.6956800064555908</v>
      </c>
      <c r="L504" t="str">
        <f t="shared" si="41"/>
        <v>Normal</v>
      </c>
      <c r="M504">
        <f t="shared" si="42"/>
        <v>0</v>
      </c>
      <c r="N504" s="2" t="str">
        <f t="shared" si="43"/>
        <v>Normal</v>
      </c>
      <c r="O504" s="2">
        <f t="shared" si="44"/>
        <v>0</v>
      </c>
      <c r="P504" s="2" t="str">
        <f t="shared" si="45"/>
        <v>Normal</v>
      </c>
    </row>
    <row r="505" spans="1:16" x14ac:dyDescent="0.35">
      <c r="A505">
        <v>2556.84</v>
      </c>
      <c r="B505">
        <v>20687.16</v>
      </c>
      <c r="C505">
        <v>5811</v>
      </c>
      <c r="D505">
        <v>14876.16</v>
      </c>
      <c r="E505" s="1">
        <v>41671</v>
      </c>
      <c r="F505">
        <v>2</v>
      </c>
      <c r="G505" s="2" t="s">
        <v>18</v>
      </c>
      <c r="H505">
        <v>2014</v>
      </c>
      <c r="I505">
        <v>8367.84</v>
      </c>
      <c r="J505">
        <v>0</v>
      </c>
      <c r="K505">
        <f t="shared" si="40"/>
        <v>-0.62953870849724924</v>
      </c>
      <c r="L505" t="str">
        <f t="shared" si="41"/>
        <v>Normal</v>
      </c>
      <c r="M505">
        <f t="shared" si="42"/>
        <v>0</v>
      </c>
      <c r="N505" s="2" t="str">
        <f t="shared" si="43"/>
        <v>Normal</v>
      </c>
      <c r="O505" s="2">
        <f t="shared" si="44"/>
        <v>0</v>
      </c>
      <c r="P505" s="2" t="str">
        <f t="shared" si="45"/>
        <v>Normal</v>
      </c>
    </row>
    <row r="506" spans="1:16" x14ac:dyDescent="0.35">
      <c r="A506">
        <v>30492</v>
      </c>
      <c r="B506">
        <v>246708</v>
      </c>
      <c r="C506">
        <v>205920</v>
      </c>
      <c r="D506">
        <v>40788</v>
      </c>
      <c r="E506" s="1">
        <v>41699</v>
      </c>
      <c r="F506">
        <v>3</v>
      </c>
      <c r="G506" s="2" t="s">
        <v>13</v>
      </c>
      <c r="H506">
        <v>2014</v>
      </c>
      <c r="I506">
        <v>236412</v>
      </c>
      <c r="J506">
        <v>0</v>
      </c>
      <c r="K506">
        <f t="shared" si="40"/>
        <v>0.32592087422792709</v>
      </c>
      <c r="L506" t="str">
        <f t="shared" si="41"/>
        <v>Normal</v>
      </c>
      <c r="M506">
        <f t="shared" si="42"/>
        <v>0</v>
      </c>
      <c r="N506" s="2" t="str">
        <f t="shared" si="43"/>
        <v>Normal</v>
      </c>
      <c r="O506" s="2">
        <f t="shared" si="44"/>
        <v>0</v>
      </c>
      <c r="P506" s="2" t="str">
        <f t="shared" si="45"/>
        <v>Normal</v>
      </c>
    </row>
    <row r="507" spans="1:16" x14ac:dyDescent="0.35">
      <c r="A507">
        <v>92763</v>
      </c>
      <c r="B507">
        <v>750537</v>
      </c>
      <c r="C507">
        <v>702750</v>
      </c>
      <c r="D507">
        <v>47787</v>
      </c>
      <c r="E507" s="1">
        <v>41821</v>
      </c>
      <c r="F507">
        <v>7</v>
      </c>
      <c r="G507" s="2" t="s">
        <v>14</v>
      </c>
      <c r="H507">
        <v>2014</v>
      </c>
      <c r="I507">
        <v>795513</v>
      </c>
      <c r="J507">
        <v>0</v>
      </c>
      <c r="K507">
        <f t="shared" si="40"/>
        <v>2.4557609637738418</v>
      </c>
      <c r="L507" t="str">
        <f t="shared" si="41"/>
        <v>Normal</v>
      </c>
      <c r="M507">
        <f t="shared" si="42"/>
        <v>0</v>
      </c>
      <c r="N507" s="2" t="str">
        <f t="shared" si="43"/>
        <v>Normal</v>
      </c>
      <c r="O507" s="2">
        <f t="shared" si="44"/>
        <v>0</v>
      </c>
      <c r="P507" s="2" t="str">
        <f t="shared" si="45"/>
        <v>Normal</v>
      </c>
    </row>
    <row r="508" spans="1:16" x14ac:dyDescent="0.35">
      <c r="A508">
        <v>33563.75</v>
      </c>
      <c r="B508">
        <v>271561.25</v>
      </c>
      <c r="C508">
        <v>292920</v>
      </c>
      <c r="D508">
        <v>-21358.75</v>
      </c>
      <c r="E508" s="1">
        <v>41913</v>
      </c>
      <c r="F508">
        <v>10</v>
      </c>
      <c r="G508" s="2" t="s">
        <v>17</v>
      </c>
      <c r="H508">
        <v>2014</v>
      </c>
      <c r="I508">
        <v>326483.75</v>
      </c>
      <c r="J508">
        <v>0</v>
      </c>
      <c r="K508">
        <f t="shared" si="40"/>
        <v>0.4309832033227331</v>
      </c>
      <c r="L508" t="str">
        <f t="shared" si="41"/>
        <v>Normal</v>
      </c>
      <c r="M508">
        <f t="shared" si="42"/>
        <v>0</v>
      </c>
      <c r="N508" s="2" t="str">
        <f t="shared" si="43"/>
        <v>Normal</v>
      </c>
      <c r="O508" s="2">
        <f t="shared" si="44"/>
        <v>0</v>
      </c>
      <c r="P508" s="2" t="str">
        <f t="shared" si="45"/>
        <v>Normal</v>
      </c>
    </row>
    <row r="509" spans="1:16" x14ac:dyDescent="0.35">
      <c r="A509">
        <v>2574</v>
      </c>
      <c r="B509">
        <v>20826</v>
      </c>
      <c r="C509">
        <v>15600</v>
      </c>
      <c r="D509">
        <v>5226</v>
      </c>
      <c r="E509" s="1">
        <v>41579</v>
      </c>
      <c r="F509">
        <v>11</v>
      </c>
      <c r="G509" s="2" t="s">
        <v>19</v>
      </c>
      <c r="H509">
        <v>2013</v>
      </c>
      <c r="I509">
        <v>18174</v>
      </c>
      <c r="J509">
        <v>0</v>
      </c>
      <c r="K509">
        <f t="shared" si="40"/>
        <v>-0.62895178912970073</v>
      </c>
      <c r="L509" t="str">
        <f t="shared" si="41"/>
        <v>Normal</v>
      </c>
      <c r="M509">
        <f t="shared" si="42"/>
        <v>0</v>
      </c>
      <c r="N509" s="2" t="str">
        <f t="shared" si="43"/>
        <v>Normal</v>
      </c>
      <c r="O509" s="2">
        <f t="shared" si="44"/>
        <v>0</v>
      </c>
      <c r="P509" s="2" t="str">
        <f t="shared" si="45"/>
        <v>Normal</v>
      </c>
    </row>
    <row r="510" spans="1:16" x14ac:dyDescent="0.35">
      <c r="A510">
        <v>2083.62</v>
      </c>
      <c r="B510">
        <v>16858.38</v>
      </c>
      <c r="C510">
        <v>13530</v>
      </c>
      <c r="D510">
        <v>3328.380000000001</v>
      </c>
      <c r="E510" s="1">
        <v>41579</v>
      </c>
      <c r="F510">
        <v>11</v>
      </c>
      <c r="G510" s="2" t="s">
        <v>19</v>
      </c>
      <c r="H510">
        <v>2013</v>
      </c>
      <c r="I510">
        <v>15613.619999999999</v>
      </c>
      <c r="J510">
        <v>0</v>
      </c>
      <c r="K510">
        <f t="shared" si="40"/>
        <v>-0.64572413874848844</v>
      </c>
      <c r="L510" t="str">
        <f t="shared" si="41"/>
        <v>Normal</v>
      </c>
      <c r="M510">
        <f t="shared" si="42"/>
        <v>0</v>
      </c>
      <c r="N510" s="2" t="str">
        <f t="shared" si="43"/>
        <v>Normal</v>
      </c>
      <c r="O510" s="2">
        <f t="shared" si="44"/>
        <v>0</v>
      </c>
      <c r="P510" s="2" t="str">
        <f t="shared" si="45"/>
        <v>Normal</v>
      </c>
    </row>
    <row r="511" spans="1:16" x14ac:dyDescent="0.35">
      <c r="A511">
        <v>29491</v>
      </c>
      <c r="B511">
        <v>238609</v>
      </c>
      <c r="C511">
        <v>199160</v>
      </c>
      <c r="D511">
        <v>39449</v>
      </c>
      <c r="E511" s="1">
        <v>41640</v>
      </c>
      <c r="F511">
        <v>1</v>
      </c>
      <c r="G511" s="2" t="s">
        <v>10</v>
      </c>
      <c r="H511">
        <v>2014</v>
      </c>
      <c r="I511">
        <v>228651</v>
      </c>
      <c r="J511">
        <v>0</v>
      </c>
      <c r="K511">
        <f t="shared" si="40"/>
        <v>0.29168391112093572</v>
      </c>
      <c r="L511" t="str">
        <f t="shared" si="41"/>
        <v>Normal</v>
      </c>
      <c r="M511">
        <f t="shared" si="42"/>
        <v>0</v>
      </c>
      <c r="N511" s="2" t="str">
        <f t="shared" si="43"/>
        <v>Normal</v>
      </c>
      <c r="O511" s="2">
        <f t="shared" si="44"/>
        <v>0</v>
      </c>
      <c r="P511" s="2" t="str">
        <f t="shared" si="45"/>
        <v>Normal</v>
      </c>
    </row>
    <row r="512" spans="1:16" x14ac:dyDescent="0.35">
      <c r="A512">
        <v>6582.4</v>
      </c>
      <c r="B512">
        <v>53257.599999999999</v>
      </c>
      <c r="C512">
        <v>29920</v>
      </c>
      <c r="D512">
        <v>23337.599999999999</v>
      </c>
      <c r="E512" s="1">
        <v>41548</v>
      </c>
      <c r="F512">
        <v>10</v>
      </c>
      <c r="G512" s="2" t="s">
        <v>17</v>
      </c>
      <c r="H512">
        <v>2013</v>
      </c>
      <c r="I512">
        <v>36502.400000000001</v>
      </c>
      <c r="J512">
        <v>0</v>
      </c>
      <c r="K512">
        <f t="shared" si="40"/>
        <v>-0.49185344455621</v>
      </c>
      <c r="L512" t="str">
        <f t="shared" si="41"/>
        <v>Normal</v>
      </c>
      <c r="M512">
        <f t="shared" si="42"/>
        <v>0</v>
      </c>
      <c r="N512" s="2" t="str">
        <f t="shared" si="43"/>
        <v>Normal</v>
      </c>
      <c r="O512" s="2">
        <f t="shared" si="44"/>
        <v>0</v>
      </c>
      <c r="P512" s="2" t="str">
        <f t="shared" si="45"/>
        <v>Normal</v>
      </c>
    </row>
    <row r="513" spans="1:16" x14ac:dyDescent="0.35">
      <c r="A513">
        <v>3559.05</v>
      </c>
      <c r="B513">
        <v>28795.95</v>
      </c>
      <c r="C513">
        <v>21570</v>
      </c>
      <c r="D513">
        <v>7225.9500000000007</v>
      </c>
      <c r="E513" s="1">
        <v>41974</v>
      </c>
      <c r="F513">
        <v>12</v>
      </c>
      <c r="G513" s="2" t="s">
        <v>12</v>
      </c>
      <c r="H513">
        <v>2014</v>
      </c>
      <c r="I513">
        <v>25129.05</v>
      </c>
      <c r="J513">
        <v>0</v>
      </c>
      <c r="K513">
        <f t="shared" si="40"/>
        <v>-0.5952603600502383</v>
      </c>
      <c r="L513" t="str">
        <f t="shared" si="41"/>
        <v>Normal</v>
      </c>
      <c r="M513">
        <f t="shared" si="42"/>
        <v>0</v>
      </c>
      <c r="N513" s="2" t="str">
        <f t="shared" si="43"/>
        <v>Normal</v>
      </c>
      <c r="O513" s="2">
        <f t="shared" si="44"/>
        <v>0</v>
      </c>
      <c r="P513" s="2" t="str">
        <f t="shared" si="45"/>
        <v>Normal</v>
      </c>
    </row>
    <row r="514" spans="1:16" x14ac:dyDescent="0.35">
      <c r="A514">
        <v>28809</v>
      </c>
      <c r="B514">
        <v>233091</v>
      </c>
      <c r="C514">
        <v>218250</v>
      </c>
      <c r="D514">
        <v>14841</v>
      </c>
      <c r="E514" s="1">
        <v>41640</v>
      </c>
      <c r="F514">
        <v>1</v>
      </c>
      <c r="G514" s="2" t="s">
        <v>10</v>
      </c>
      <c r="H514">
        <v>2014</v>
      </c>
      <c r="I514">
        <v>247059</v>
      </c>
      <c r="J514">
        <v>0</v>
      </c>
      <c r="K514">
        <f t="shared" ref="K514:K577" si="46">(B514 - $U$2) / $U$3</f>
        <v>0.268357628564524</v>
      </c>
      <c r="L514" t="str">
        <f t="shared" ref="L514:L577" si="47">IF(ABS(K514) &gt; 3, "Anomaly", "Normal")</f>
        <v>Normal</v>
      </c>
      <c r="M514">
        <f t="shared" ref="M514:M577" si="48">IFERROR((I514-$S$6)/$S$7,0)</f>
        <v>0</v>
      </c>
      <c r="N514" s="2" t="str">
        <f t="shared" ref="N514:N577" si="49">IF(ABS(M514) &gt; 3, "Anomaly", "Normal")</f>
        <v>Normal</v>
      </c>
      <c r="O514" s="2">
        <f t="shared" ref="O514:O577" si="50">IFERROR((J514-$Q$2)/$Q$3,0)</f>
        <v>0</v>
      </c>
      <c r="P514" s="2" t="str">
        <f t="shared" ref="P514:P577" si="51">IF(ABS(O514)&gt;3,"Anomaly","Normal")</f>
        <v>Normal</v>
      </c>
    </row>
    <row r="515" spans="1:16" x14ac:dyDescent="0.35">
      <c r="A515">
        <v>2468.4</v>
      </c>
      <c r="B515">
        <v>19971.599999999999</v>
      </c>
      <c r="C515">
        <v>11220</v>
      </c>
      <c r="D515">
        <v>8751.5999999999985</v>
      </c>
      <c r="E515" s="1">
        <v>41699</v>
      </c>
      <c r="F515">
        <v>3</v>
      </c>
      <c r="G515" s="2" t="s">
        <v>13</v>
      </c>
      <c r="H515">
        <v>2014</v>
      </c>
      <c r="I515">
        <v>13688.4</v>
      </c>
      <c r="J515">
        <v>0</v>
      </c>
      <c r="K515">
        <f t="shared" si="46"/>
        <v>-0.63256360062230643</v>
      </c>
      <c r="L515" t="str">
        <f t="shared" si="47"/>
        <v>Normal</v>
      </c>
      <c r="M515">
        <f t="shared" si="48"/>
        <v>0</v>
      </c>
      <c r="N515" s="2" t="str">
        <f t="shared" si="49"/>
        <v>Normal</v>
      </c>
      <c r="O515" s="2">
        <f t="shared" si="50"/>
        <v>0</v>
      </c>
      <c r="P515" s="2" t="str">
        <f t="shared" si="51"/>
        <v>Normal</v>
      </c>
    </row>
    <row r="516" spans="1:16" x14ac:dyDescent="0.35">
      <c r="A516">
        <v>81023.25</v>
      </c>
      <c r="B516">
        <v>655551.75</v>
      </c>
      <c r="C516">
        <v>547170</v>
      </c>
      <c r="D516">
        <v>108381.75</v>
      </c>
      <c r="E516" s="1">
        <v>41821</v>
      </c>
      <c r="F516">
        <v>7</v>
      </c>
      <c r="G516" s="2" t="s">
        <v>14</v>
      </c>
      <c r="H516">
        <v>2014</v>
      </c>
      <c r="I516">
        <v>628193.25</v>
      </c>
      <c r="J516">
        <v>0</v>
      </c>
      <c r="K516">
        <f t="shared" si="46"/>
        <v>2.0542291079943191</v>
      </c>
      <c r="L516" t="str">
        <f t="shared" si="47"/>
        <v>Normal</v>
      </c>
      <c r="M516">
        <f t="shared" si="48"/>
        <v>0</v>
      </c>
      <c r="N516" s="2" t="str">
        <f t="shared" si="49"/>
        <v>Normal</v>
      </c>
      <c r="O516" s="2">
        <f t="shared" si="50"/>
        <v>0</v>
      </c>
      <c r="P516" s="2" t="str">
        <f t="shared" si="51"/>
        <v>Normal</v>
      </c>
    </row>
    <row r="517" spans="1:16" x14ac:dyDescent="0.35">
      <c r="A517">
        <v>5314.32</v>
      </c>
      <c r="B517">
        <v>42997.68</v>
      </c>
      <c r="C517">
        <v>12078</v>
      </c>
      <c r="D517">
        <v>30919.68</v>
      </c>
      <c r="E517" s="1">
        <v>41821</v>
      </c>
      <c r="F517">
        <v>7</v>
      </c>
      <c r="G517" s="2" t="s">
        <v>14</v>
      </c>
      <c r="H517">
        <v>2014</v>
      </c>
      <c r="I517">
        <v>17392.32</v>
      </c>
      <c r="J517">
        <v>0</v>
      </c>
      <c r="K517">
        <f t="shared" si="46"/>
        <v>-0.53522528089658328</v>
      </c>
      <c r="L517" t="str">
        <f t="shared" si="47"/>
        <v>Normal</v>
      </c>
      <c r="M517">
        <f t="shared" si="48"/>
        <v>0</v>
      </c>
      <c r="N517" s="2" t="str">
        <f t="shared" si="49"/>
        <v>Normal</v>
      </c>
      <c r="O517" s="2">
        <f t="shared" si="50"/>
        <v>0</v>
      </c>
      <c r="P517" s="2" t="str">
        <f t="shared" si="51"/>
        <v>Normal</v>
      </c>
    </row>
    <row r="518" spans="1:16" x14ac:dyDescent="0.35">
      <c r="A518">
        <v>3201.66</v>
      </c>
      <c r="B518">
        <v>25904.340000000004</v>
      </c>
      <c r="C518">
        <v>7276.5</v>
      </c>
      <c r="D518">
        <v>18627.840000000004</v>
      </c>
      <c r="E518" s="1">
        <v>41821</v>
      </c>
      <c r="F518">
        <v>7</v>
      </c>
      <c r="G518" s="2" t="s">
        <v>14</v>
      </c>
      <c r="H518">
        <v>2014</v>
      </c>
      <c r="I518">
        <v>10478.16</v>
      </c>
      <c r="J518">
        <v>0</v>
      </c>
      <c r="K518">
        <f t="shared" si="46"/>
        <v>-0.60748408457052572</v>
      </c>
      <c r="L518" t="str">
        <f t="shared" si="47"/>
        <v>Normal</v>
      </c>
      <c r="M518">
        <f t="shared" si="48"/>
        <v>0</v>
      </c>
      <c r="N518" s="2" t="str">
        <f t="shared" si="49"/>
        <v>Normal</v>
      </c>
      <c r="O518" s="2">
        <f t="shared" si="50"/>
        <v>0</v>
      </c>
      <c r="P518" s="2" t="str">
        <f t="shared" si="51"/>
        <v>Normal</v>
      </c>
    </row>
    <row r="519" spans="1:16" x14ac:dyDescent="0.35">
      <c r="A519">
        <v>5266.8</v>
      </c>
      <c r="B519">
        <v>42613.2</v>
      </c>
      <c r="C519">
        <v>23940</v>
      </c>
      <c r="D519">
        <v>18673.199999999997</v>
      </c>
      <c r="E519" s="1">
        <v>41852</v>
      </c>
      <c r="F519">
        <v>8</v>
      </c>
      <c r="G519" s="2" t="s">
        <v>15</v>
      </c>
      <c r="H519">
        <v>2014</v>
      </c>
      <c r="I519">
        <v>29206.799999999999</v>
      </c>
      <c r="J519">
        <v>0</v>
      </c>
      <c r="K519">
        <f t="shared" si="46"/>
        <v>-0.5368505960682558</v>
      </c>
      <c r="L519" t="str">
        <f t="shared" si="47"/>
        <v>Normal</v>
      </c>
      <c r="M519">
        <f t="shared" si="48"/>
        <v>0</v>
      </c>
      <c r="N519" s="2" t="str">
        <f t="shared" si="49"/>
        <v>Normal</v>
      </c>
      <c r="O519" s="2">
        <f t="shared" si="50"/>
        <v>0</v>
      </c>
      <c r="P519" s="2" t="str">
        <f t="shared" si="51"/>
        <v>Normal</v>
      </c>
    </row>
    <row r="520" spans="1:16" x14ac:dyDescent="0.35">
      <c r="A520">
        <v>3273.6</v>
      </c>
      <c r="B520">
        <v>26486.400000000001</v>
      </c>
      <c r="C520">
        <v>19840</v>
      </c>
      <c r="D520">
        <v>6646.4000000000015</v>
      </c>
      <c r="E520" s="1">
        <v>41852</v>
      </c>
      <c r="F520">
        <v>8</v>
      </c>
      <c r="G520" s="2" t="s">
        <v>15</v>
      </c>
      <c r="H520">
        <v>2014</v>
      </c>
      <c r="I520">
        <v>23113.599999999999</v>
      </c>
      <c r="J520">
        <v>0</v>
      </c>
      <c r="K520">
        <f t="shared" si="46"/>
        <v>-0.60502353799118813</v>
      </c>
      <c r="L520" t="str">
        <f t="shared" si="47"/>
        <v>Normal</v>
      </c>
      <c r="M520">
        <f t="shared" si="48"/>
        <v>0</v>
      </c>
      <c r="N520" s="2" t="str">
        <f t="shared" si="49"/>
        <v>Normal</v>
      </c>
      <c r="O520" s="2">
        <f t="shared" si="50"/>
        <v>0</v>
      </c>
      <c r="P520" s="2" t="str">
        <f t="shared" si="51"/>
        <v>Normal</v>
      </c>
    </row>
    <row r="521" spans="1:16" x14ac:dyDescent="0.35">
      <c r="A521">
        <v>33563.75</v>
      </c>
      <c r="B521">
        <v>271561.25</v>
      </c>
      <c r="C521">
        <v>292920</v>
      </c>
      <c r="D521">
        <v>-21358.75</v>
      </c>
      <c r="E521" s="1">
        <v>41913</v>
      </c>
      <c r="F521">
        <v>10</v>
      </c>
      <c r="G521" s="2" t="s">
        <v>17</v>
      </c>
      <c r="H521">
        <v>2014</v>
      </c>
      <c r="I521">
        <v>326483.75</v>
      </c>
      <c r="J521">
        <v>0</v>
      </c>
      <c r="K521">
        <f t="shared" si="46"/>
        <v>0.4309832033227331</v>
      </c>
      <c r="L521" t="str">
        <f t="shared" si="47"/>
        <v>Normal</v>
      </c>
      <c r="M521">
        <f t="shared" si="48"/>
        <v>0</v>
      </c>
      <c r="N521" s="2" t="str">
        <f t="shared" si="49"/>
        <v>Normal</v>
      </c>
      <c r="O521" s="2">
        <f t="shared" si="50"/>
        <v>0</v>
      </c>
      <c r="P521" s="2" t="str">
        <f t="shared" si="51"/>
        <v>Normal</v>
      </c>
    </row>
    <row r="522" spans="1:16" x14ac:dyDescent="0.35">
      <c r="A522">
        <v>6582.4</v>
      </c>
      <c r="B522">
        <v>53257.599999999999</v>
      </c>
      <c r="C522">
        <v>29920</v>
      </c>
      <c r="D522">
        <v>23337.599999999999</v>
      </c>
      <c r="E522" s="1">
        <v>41548</v>
      </c>
      <c r="F522">
        <v>10</v>
      </c>
      <c r="G522" s="2" t="s">
        <v>17</v>
      </c>
      <c r="H522">
        <v>2013</v>
      </c>
      <c r="I522">
        <v>36502.400000000001</v>
      </c>
      <c r="J522">
        <v>0</v>
      </c>
      <c r="K522">
        <f t="shared" si="46"/>
        <v>-0.49185344455621</v>
      </c>
      <c r="L522" t="str">
        <f t="shared" si="47"/>
        <v>Normal</v>
      </c>
      <c r="M522">
        <f t="shared" si="48"/>
        <v>0</v>
      </c>
      <c r="N522" s="2" t="str">
        <f t="shared" si="49"/>
        <v>Normal</v>
      </c>
      <c r="O522" s="2">
        <f t="shared" si="50"/>
        <v>0</v>
      </c>
      <c r="P522" s="2" t="str">
        <f t="shared" si="51"/>
        <v>Normal</v>
      </c>
    </row>
    <row r="523" spans="1:16" x14ac:dyDescent="0.35">
      <c r="A523">
        <v>45078</v>
      </c>
      <c r="B523">
        <v>364722</v>
      </c>
      <c r="C523">
        <v>341500</v>
      </c>
      <c r="D523">
        <v>23222</v>
      </c>
      <c r="E523" s="1">
        <v>41944</v>
      </c>
      <c r="F523">
        <v>11</v>
      </c>
      <c r="G523" s="2" t="s">
        <v>19</v>
      </c>
      <c r="H523">
        <v>2014</v>
      </c>
      <c r="I523">
        <v>386578</v>
      </c>
      <c r="J523">
        <v>0</v>
      </c>
      <c r="K523">
        <f t="shared" si="46"/>
        <v>0.82480233664408731</v>
      </c>
      <c r="L523" t="str">
        <f t="shared" si="47"/>
        <v>Normal</v>
      </c>
      <c r="M523">
        <f t="shared" si="48"/>
        <v>0</v>
      </c>
      <c r="N523" s="2" t="str">
        <f t="shared" si="49"/>
        <v>Normal</v>
      </c>
      <c r="O523" s="2">
        <f t="shared" si="50"/>
        <v>0</v>
      </c>
      <c r="P523" s="2" t="str">
        <f t="shared" si="51"/>
        <v>Normal</v>
      </c>
    </row>
    <row r="524" spans="1:16" x14ac:dyDescent="0.35">
      <c r="A524">
        <v>6171</v>
      </c>
      <c r="B524">
        <v>49929</v>
      </c>
      <c r="C524">
        <v>28050</v>
      </c>
      <c r="D524">
        <v>21879</v>
      </c>
      <c r="E524" s="1">
        <v>41518</v>
      </c>
      <c r="F524">
        <v>9</v>
      </c>
      <c r="G524" s="2" t="s">
        <v>16</v>
      </c>
      <c r="H524">
        <v>2013</v>
      </c>
      <c r="I524">
        <v>34221</v>
      </c>
      <c r="J524">
        <v>0</v>
      </c>
      <c r="K524">
        <f t="shared" si="46"/>
        <v>-0.50592446016281967</v>
      </c>
      <c r="L524" t="str">
        <f t="shared" si="47"/>
        <v>Normal</v>
      </c>
      <c r="M524">
        <f t="shared" si="48"/>
        <v>0</v>
      </c>
      <c r="N524" s="2" t="str">
        <f t="shared" si="49"/>
        <v>Normal</v>
      </c>
      <c r="O524" s="2">
        <f t="shared" si="50"/>
        <v>0</v>
      </c>
      <c r="P524" s="2" t="str">
        <f t="shared" si="51"/>
        <v>Normal</v>
      </c>
    </row>
    <row r="525" spans="1:16" x14ac:dyDescent="0.35">
      <c r="A525">
        <v>1080.75</v>
      </c>
      <c r="B525">
        <v>8744.25</v>
      </c>
      <c r="C525">
        <v>6550</v>
      </c>
      <c r="D525">
        <v>2194.25</v>
      </c>
      <c r="E525" s="1">
        <v>41518</v>
      </c>
      <c r="F525">
        <v>9</v>
      </c>
      <c r="G525" s="2" t="s">
        <v>16</v>
      </c>
      <c r="H525">
        <v>2013</v>
      </c>
      <c r="I525">
        <v>7630.75</v>
      </c>
      <c r="J525">
        <v>0</v>
      </c>
      <c r="K525">
        <f t="shared" si="46"/>
        <v>-0.68002506101732807</v>
      </c>
      <c r="L525" t="str">
        <f t="shared" si="47"/>
        <v>Normal</v>
      </c>
      <c r="M525">
        <f t="shared" si="48"/>
        <v>0</v>
      </c>
      <c r="N525" s="2" t="str">
        <f t="shared" si="49"/>
        <v>Normal</v>
      </c>
      <c r="O525" s="2">
        <f t="shared" si="50"/>
        <v>0</v>
      </c>
      <c r="P525" s="2" t="str">
        <f t="shared" si="51"/>
        <v>Normal</v>
      </c>
    </row>
    <row r="526" spans="1:16" x14ac:dyDescent="0.35">
      <c r="A526">
        <v>13244</v>
      </c>
      <c r="B526">
        <v>107156</v>
      </c>
      <c r="C526">
        <v>89440</v>
      </c>
      <c r="D526">
        <v>17716</v>
      </c>
      <c r="E526" s="1">
        <v>41548</v>
      </c>
      <c r="F526">
        <v>10</v>
      </c>
      <c r="G526" s="2" t="s">
        <v>17</v>
      </c>
      <c r="H526">
        <v>2013</v>
      </c>
      <c r="I526">
        <v>102684</v>
      </c>
      <c r="J526">
        <v>0</v>
      </c>
      <c r="K526">
        <f t="shared" si="46"/>
        <v>-0.26400833623100139</v>
      </c>
      <c r="L526" t="str">
        <f t="shared" si="47"/>
        <v>Normal</v>
      </c>
      <c r="M526">
        <f t="shared" si="48"/>
        <v>0</v>
      </c>
      <c r="N526" s="2" t="str">
        <f t="shared" si="49"/>
        <v>Normal</v>
      </c>
      <c r="O526" s="2">
        <f t="shared" si="50"/>
        <v>0</v>
      </c>
      <c r="P526" s="2" t="str">
        <f t="shared" si="51"/>
        <v>Normal</v>
      </c>
    </row>
    <row r="527" spans="1:16" x14ac:dyDescent="0.35">
      <c r="A527">
        <v>1392.16</v>
      </c>
      <c r="B527">
        <v>11263.84</v>
      </c>
      <c r="C527">
        <v>9040</v>
      </c>
      <c r="D527">
        <v>2223.84</v>
      </c>
      <c r="E527" s="1">
        <v>41944</v>
      </c>
      <c r="F527">
        <v>11</v>
      </c>
      <c r="G527" s="2" t="s">
        <v>19</v>
      </c>
      <c r="H527">
        <v>2014</v>
      </c>
      <c r="I527">
        <v>10432.16</v>
      </c>
      <c r="J527">
        <v>0</v>
      </c>
      <c r="K527">
        <f t="shared" si="46"/>
        <v>-0.66937397941777943</v>
      </c>
      <c r="L527" t="str">
        <f t="shared" si="47"/>
        <v>Normal</v>
      </c>
      <c r="M527">
        <f t="shared" si="48"/>
        <v>0</v>
      </c>
      <c r="N527" s="2" t="str">
        <f t="shared" si="49"/>
        <v>Normal</v>
      </c>
      <c r="O527" s="2">
        <f t="shared" si="50"/>
        <v>0</v>
      </c>
      <c r="P527" s="2" t="str">
        <f t="shared" si="51"/>
        <v>Normal</v>
      </c>
    </row>
    <row r="528" spans="1:16" x14ac:dyDescent="0.35">
      <c r="A528">
        <v>2288.88</v>
      </c>
      <c r="B528">
        <v>18519.12</v>
      </c>
      <c r="C528">
        <v>5202</v>
      </c>
      <c r="D528">
        <v>13317.119999999999</v>
      </c>
      <c r="E528" s="1">
        <v>41640</v>
      </c>
      <c r="F528">
        <v>1</v>
      </c>
      <c r="G528" s="2" t="s">
        <v>10</v>
      </c>
      <c r="H528">
        <v>2014</v>
      </c>
      <c r="I528">
        <v>7490.88</v>
      </c>
      <c r="J528">
        <v>0</v>
      </c>
      <c r="K528">
        <f t="shared" si="46"/>
        <v>-0.63870368015973611</v>
      </c>
      <c r="L528" t="str">
        <f t="shared" si="47"/>
        <v>Normal</v>
      </c>
      <c r="M528">
        <f t="shared" si="48"/>
        <v>0</v>
      </c>
      <c r="N528" s="2" t="str">
        <f t="shared" si="49"/>
        <v>Normal</v>
      </c>
      <c r="O528" s="2">
        <f t="shared" si="50"/>
        <v>0</v>
      </c>
      <c r="P528" s="2" t="str">
        <f t="shared" si="51"/>
        <v>Normal</v>
      </c>
    </row>
    <row r="529" spans="1:16" x14ac:dyDescent="0.35">
      <c r="A529">
        <v>7617.5</v>
      </c>
      <c r="B529">
        <v>61632.5</v>
      </c>
      <c r="C529">
        <v>66480</v>
      </c>
      <c r="D529">
        <v>-4847.5</v>
      </c>
      <c r="E529" s="1">
        <v>41640</v>
      </c>
      <c r="F529">
        <v>1</v>
      </c>
      <c r="G529" s="2" t="s">
        <v>10</v>
      </c>
      <c r="H529">
        <v>2014</v>
      </c>
      <c r="I529">
        <v>74097.5</v>
      </c>
      <c r="J529">
        <v>0</v>
      </c>
      <c r="K529">
        <f t="shared" si="46"/>
        <v>-0.45645016732139804</v>
      </c>
      <c r="L529" t="str">
        <f t="shared" si="47"/>
        <v>Normal</v>
      </c>
      <c r="M529">
        <f t="shared" si="48"/>
        <v>0</v>
      </c>
      <c r="N529" s="2" t="str">
        <f t="shared" si="49"/>
        <v>Normal</v>
      </c>
      <c r="O529" s="2">
        <f t="shared" si="50"/>
        <v>0</v>
      </c>
      <c r="P529" s="2" t="str">
        <f t="shared" si="51"/>
        <v>Normal</v>
      </c>
    </row>
    <row r="530" spans="1:16" x14ac:dyDescent="0.35">
      <c r="A530">
        <v>6457</v>
      </c>
      <c r="B530">
        <v>52243</v>
      </c>
      <c r="C530">
        <v>29350</v>
      </c>
      <c r="D530">
        <v>22893</v>
      </c>
      <c r="E530" s="1">
        <v>41579</v>
      </c>
      <c r="F530">
        <v>11</v>
      </c>
      <c r="G530" s="2" t="s">
        <v>19</v>
      </c>
      <c r="H530">
        <v>2013</v>
      </c>
      <c r="I530">
        <v>35807</v>
      </c>
      <c r="J530">
        <v>0</v>
      </c>
      <c r="K530">
        <f t="shared" si="46"/>
        <v>-0.49614247070367928</v>
      </c>
      <c r="L530" t="str">
        <f t="shared" si="47"/>
        <v>Normal</v>
      </c>
      <c r="M530">
        <f t="shared" si="48"/>
        <v>0</v>
      </c>
      <c r="N530" s="2" t="str">
        <f t="shared" si="49"/>
        <v>Normal</v>
      </c>
      <c r="O530" s="2">
        <f t="shared" si="50"/>
        <v>0</v>
      </c>
      <c r="P530" s="2" t="str">
        <f t="shared" si="51"/>
        <v>Normal</v>
      </c>
    </row>
    <row r="531" spans="1:16" x14ac:dyDescent="0.35">
      <c r="A531">
        <v>43518.75</v>
      </c>
      <c r="B531">
        <v>352106.25</v>
      </c>
      <c r="C531">
        <v>379800</v>
      </c>
      <c r="D531">
        <v>-27693.75</v>
      </c>
      <c r="E531" s="1">
        <v>41640</v>
      </c>
      <c r="F531">
        <v>1</v>
      </c>
      <c r="G531" s="2" t="s">
        <v>10</v>
      </c>
      <c r="H531">
        <v>2014</v>
      </c>
      <c r="I531">
        <v>423318.75</v>
      </c>
      <c r="J531">
        <v>0</v>
      </c>
      <c r="K531">
        <f t="shared" si="46"/>
        <v>0.77147168257358145</v>
      </c>
      <c r="L531" t="str">
        <f t="shared" si="47"/>
        <v>Normal</v>
      </c>
      <c r="M531">
        <f t="shared" si="48"/>
        <v>0</v>
      </c>
      <c r="N531" s="2" t="str">
        <f t="shared" si="49"/>
        <v>Normal</v>
      </c>
      <c r="O531" s="2">
        <f t="shared" si="50"/>
        <v>0</v>
      </c>
      <c r="P531" s="2" t="str">
        <f t="shared" si="51"/>
        <v>Normal</v>
      </c>
    </row>
    <row r="532" spans="1:16" x14ac:dyDescent="0.35">
      <c r="A532">
        <v>5783.8</v>
      </c>
      <c r="B532">
        <v>46796.2</v>
      </c>
      <c r="C532">
        <v>26290</v>
      </c>
      <c r="D532">
        <v>20506.199999999997</v>
      </c>
      <c r="E532" s="1">
        <v>41640</v>
      </c>
      <c r="F532">
        <v>1</v>
      </c>
      <c r="G532" s="2" t="s">
        <v>10</v>
      </c>
      <c r="H532">
        <v>2014</v>
      </c>
      <c r="I532">
        <v>32073.8</v>
      </c>
      <c r="J532">
        <v>0</v>
      </c>
      <c r="K532">
        <f t="shared" si="46"/>
        <v>-0.51916776896904049</v>
      </c>
      <c r="L532" t="str">
        <f t="shared" si="47"/>
        <v>Normal</v>
      </c>
      <c r="M532">
        <f t="shared" si="48"/>
        <v>0</v>
      </c>
      <c r="N532" s="2" t="str">
        <f t="shared" si="49"/>
        <v>Normal</v>
      </c>
      <c r="O532" s="2">
        <f t="shared" si="50"/>
        <v>0</v>
      </c>
      <c r="P532" s="2" t="str">
        <f t="shared" si="51"/>
        <v>Normal</v>
      </c>
    </row>
    <row r="533" spans="1:16" x14ac:dyDescent="0.35">
      <c r="A533">
        <v>19703.75</v>
      </c>
      <c r="B533">
        <v>159421.25</v>
      </c>
      <c r="C533">
        <v>171960</v>
      </c>
      <c r="D533">
        <v>-12538.75</v>
      </c>
      <c r="E533" s="1">
        <v>41760</v>
      </c>
      <c r="F533">
        <v>5</v>
      </c>
      <c r="G533" s="2" t="s">
        <v>21</v>
      </c>
      <c r="H533">
        <v>2014</v>
      </c>
      <c r="I533">
        <v>191663.75</v>
      </c>
      <c r="J533">
        <v>0</v>
      </c>
      <c r="K533">
        <f t="shared" si="46"/>
        <v>-4.3067055081763027E-2</v>
      </c>
      <c r="L533" t="str">
        <f t="shared" si="47"/>
        <v>Normal</v>
      </c>
      <c r="M533">
        <f t="shared" si="48"/>
        <v>0</v>
      </c>
      <c r="N533" s="2" t="str">
        <f t="shared" si="49"/>
        <v>Normal</v>
      </c>
      <c r="O533" s="2">
        <f t="shared" si="50"/>
        <v>0</v>
      </c>
      <c r="P533" s="2" t="str">
        <f t="shared" si="51"/>
        <v>Normal</v>
      </c>
    </row>
    <row r="534" spans="1:16" x14ac:dyDescent="0.35">
      <c r="A534">
        <v>13021.25</v>
      </c>
      <c r="B534">
        <v>105353.75</v>
      </c>
      <c r="C534">
        <v>113640</v>
      </c>
      <c r="D534">
        <v>-8286.25</v>
      </c>
      <c r="E534" s="1">
        <v>41518</v>
      </c>
      <c r="F534">
        <v>9</v>
      </c>
      <c r="G534" s="2" t="s">
        <v>16</v>
      </c>
      <c r="H534">
        <v>2013</v>
      </c>
      <c r="I534">
        <v>126661.25</v>
      </c>
      <c r="J534">
        <v>0</v>
      </c>
      <c r="K534">
        <f t="shared" si="46"/>
        <v>-0.27162700109821653</v>
      </c>
      <c r="L534" t="str">
        <f t="shared" si="47"/>
        <v>Normal</v>
      </c>
      <c r="M534">
        <f t="shared" si="48"/>
        <v>0</v>
      </c>
      <c r="N534" s="2" t="str">
        <f t="shared" si="49"/>
        <v>Normal</v>
      </c>
      <c r="O534" s="2">
        <f t="shared" si="50"/>
        <v>0</v>
      </c>
      <c r="P534" s="2" t="str">
        <f t="shared" si="51"/>
        <v>Normal</v>
      </c>
    </row>
    <row r="535" spans="1:16" x14ac:dyDescent="0.35">
      <c r="A535">
        <v>13244</v>
      </c>
      <c r="B535">
        <v>107156</v>
      </c>
      <c r="C535">
        <v>89440</v>
      </c>
      <c r="D535">
        <v>17716</v>
      </c>
      <c r="E535" s="1">
        <v>41548</v>
      </c>
      <c r="F535">
        <v>10</v>
      </c>
      <c r="G535" s="2" t="s">
        <v>17</v>
      </c>
      <c r="H535">
        <v>2013</v>
      </c>
      <c r="I535">
        <v>102684</v>
      </c>
      <c r="J535">
        <v>0</v>
      </c>
      <c r="K535">
        <f t="shared" si="46"/>
        <v>-0.26400833623100139</v>
      </c>
      <c r="L535" t="str">
        <f t="shared" si="47"/>
        <v>Normal</v>
      </c>
      <c r="M535">
        <f t="shared" si="48"/>
        <v>0</v>
      </c>
      <c r="N535" s="2" t="str">
        <f t="shared" si="49"/>
        <v>Normal</v>
      </c>
      <c r="O535" s="2">
        <f t="shared" si="50"/>
        <v>0</v>
      </c>
      <c r="P535" s="2" t="str">
        <f t="shared" si="51"/>
        <v>Normal</v>
      </c>
    </row>
    <row r="536" spans="1:16" x14ac:dyDescent="0.35">
      <c r="A536">
        <v>3559.05</v>
      </c>
      <c r="B536">
        <v>28795.95</v>
      </c>
      <c r="C536">
        <v>21570</v>
      </c>
      <c r="D536">
        <v>7225.9500000000007</v>
      </c>
      <c r="E536" s="1">
        <v>41974</v>
      </c>
      <c r="F536">
        <v>12</v>
      </c>
      <c r="G536" s="2" t="s">
        <v>12</v>
      </c>
      <c r="H536">
        <v>2014</v>
      </c>
      <c r="I536">
        <v>25129.05</v>
      </c>
      <c r="J536">
        <v>0</v>
      </c>
      <c r="K536">
        <f t="shared" si="46"/>
        <v>-0.5952603600502383</v>
      </c>
      <c r="L536" t="str">
        <f t="shared" si="47"/>
        <v>Normal</v>
      </c>
      <c r="M536">
        <f t="shared" si="48"/>
        <v>0</v>
      </c>
      <c r="N536" s="2" t="str">
        <f t="shared" si="49"/>
        <v>Normal</v>
      </c>
      <c r="O536" s="2">
        <f t="shared" si="50"/>
        <v>0</v>
      </c>
      <c r="P536" s="2" t="str">
        <f t="shared" si="51"/>
        <v>Normal</v>
      </c>
    </row>
    <row r="537" spans="1:16" x14ac:dyDescent="0.35">
      <c r="A537">
        <v>292.60000000000002</v>
      </c>
      <c r="B537">
        <v>2367.4</v>
      </c>
      <c r="C537">
        <v>1900</v>
      </c>
      <c r="D537">
        <v>467.40000000000009</v>
      </c>
      <c r="E537" s="1">
        <v>41518</v>
      </c>
      <c r="F537">
        <v>9</v>
      </c>
      <c r="G537" s="2" t="s">
        <v>16</v>
      </c>
      <c r="H537">
        <v>2013</v>
      </c>
      <c r="I537">
        <v>2192.6</v>
      </c>
      <c r="J537">
        <v>0</v>
      </c>
      <c r="K537">
        <f t="shared" si="46"/>
        <v>-0.70698196658453616</v>
      </c>
      <c r="L537" t="str">
        <f t="shared" si="47"/>
        <v>Normal</v>
      </c>
      <c r="M537">
        <f t="shared" si="48"/>
        <v>0</v>
      </c>
      <c r="N537" s="2" t="str">
        <f t="shared" si="49"/>
        <v>Normal</v>
      </c>
      <c r="O537" s="2">
        <f t="shared" si="50"/>
        <v>0</v>
      </c>
      <c r="P537" s="2" t="str">
        <f t="shared" si="51"/>
        <v>Normal</v>
      </c>
    </row>
    <row r="538" spans="1:16" x14ac:dyDescent="0.35">
      <c r="A538">
        <v>37212</v>
      </c>
      <c r="B538">
        <v>272888</v>
      </c>
      <c r="C538">
        <v>230360</v>
      </c>
      <c r="D538">
        <v>42528</v>
      </c>
      <c r="E538" s="1">
        <v>41791</v>
      </c>
      <c r="F538">
        <v>6</v>
      </c>
      <c r="G538" s="2" t="s">
        <v>11</v>
      </c>
      <c r="H538">
        <v>2014</v>
      </c>
      <c r="I538">
        <v>267572</v>
      </c>
      <c r="J538">
        <v>0</v>
      </c>
      <c r="K538">
        <f t="shared" si="46"/>
        <v>0.43659178349339622</v>
      </c>
      <c r="L538" t="str">
        <f t="shared" si="47"/>
        <v>Normal</v>
      </c>
      <c r="M538">
        <f t="shared" si="48"/>
        <v>0</v>
      </c>
      <c r="N538" s="2" t="str">
        <f t="shared" si="49"/>
        <v>Normal</v>
      </c>
      <c r="O538" s="2">
        <f t="shared" si="50"/>
        <v>0</v>
      </c>
      <c r="P538" s="2" t="str">
        <f t="shared" si="51"/>
        <v>Normal</v>
      </c>
    </row>
    <row r="539" spans="1:16" x14ac:dyDescent="0.35">
      <c r="A539">
        <v>36240</v>
      </c>
      <c r="B539">
        <v>265760</v>
      </c>
      <c r="C539">
        <v>289920</v>
      </c>
      <c r="D539">
        <v>-24160</v>
      </c>
      <c r="E539" s="1">
        <v>41518</v>
      </c>
      <c r="F539">
        <v>9</v>
      </c>
      <c r="G539" s="2" t="s">
        <v>16</v>
      </c>
      <c r="H539">
        <v>2013</v>
      </c>
      <c r="I539">
        <v>326160</v>
      </c>
      <c r="J539">
        <v>0</v>
      </c>
      <c r="K539">
        <f t="shared" si="46"/>
        <v>0.40645953592868028</v>
      </c>
      <c r="L539" t="str">
        <f t="shared" si="47"/>
        <v>Normal</v>
      </c>
      <c r="M539">
        <f t="shared" si="48"/>
        <v>0</v>
      </c>
      <c r="N539" s="2" t="str">
        <f t="shared" si="49"/>
        <v>Normal</v>
      </c>
      <c r="O539" s="2">
        <f t="shared" si="50"/>
        <v>0</v>
      </c>
      <c r="P539" s="2" t="str">
        <f t="shared" si="51"/>
        <v>Normal</v>
      </c>
    </row>
    <row r="540" spans="1:16" x14ac:dyDescent="0.35">
      <c r="A540">
        <v>32340</v>
      </c>
      <c r="B540">
        <v>237160</v>
      </c>
      <c r="C540">
        <v>258720</v>
      </c>
      <c r="D540">
        <v>-21560</v>
      </c>
      <c r="E540" s="1">
        <v>41913</v>
      </c>
      <c r="F540">
        <v>10</v>
      </c>
      <c r="G540" s="2" t="s">
        <v>17</v>
      </c>
      <c r="H540">
        <v>2014</v>
      </c>
      <c r="I540">
        <v>291060</v>
      </c>
      <c r="J540">
        <v>0</v>
      </c>
      <c r="K540">
        <f t="shared" si="46"/>
        <v>0.28555854261346192</v>
      </c>
      <c r="L540" t="str">
        <f t="shared" si="47"/>
        <v>Normal</v>
      </c>
      <c r="M540">
        <f t="shared" si="48"/>
        <v>0</v>
      </c>
      <c r="N540" s="2" t="str">
        <f t="shared" si="49"/>
        <v>Normal</v>
      </c>
      <c r="O540" s="2">
        <f t="shared" si="50"/>
        <v>0</v>
      </c>
      <c r="P540" s="2" t="str">
        <f t="shared" si="51"/>
        <v>Normal</v>
      </c>
    </row>
    <row r="541" spans="1:16" x14ac:dyDescent="0.35">
      <c r="A541">
        <v>4840.2</v>
      </c>
      <c r="B541">
        <v>35494.800000000003</v>
      </c>
      <c r="C541">
        <v>26890</v>
      </c>
      <c r="D541">
        <v>8604.8000000000029</v>
      </c>
      <c r="E541" s="1">
        <v>41944</v>
      </c>
      <c r="F541">
        <v>11</v>
      </c>
      <c r="G541" s="2" t="s">
        <v>19</v>
      </c>
      <c r="H541">
        <v>2014</v>
      </c>
      <c r="I541">
        <v>31730.2</v>
      </c>
      <c r="J541">
        <v>0</v>
      </c>
      <c r="K541">
        <f t="shared" si="46"/>
        <v>-0.56694226148136939</v>
      </c>
      <c r="L541" t="str">
        <f t="shared" si="47"/>
        <v>Normal</v>
      </c>
      <c r="M541">
        <f t="shared" si="48"/>
        <v>0</v>
      </c>
      <c r="N541" s="2" t="str">
        <f t="shared" si="49"/>
        <v>Normal</v>
      </c>
      <c r="O541" s="2">
        <f t="shared" si="50"/>
        <v>0</v>
      </c>
      <c r="P541" s="2" t="str">
        <f t="shared" si="51"/>
        <v>Normal</v>
      </c>
    </row>
    <row r="542" spans="1:16" x14ac:dyDescent="0.35">
      <c r="A542">
        <v>1218.5999999999999</v>
      </c>
      <c r="B542">
        <v>8936.4</v>
      </c>
      <c r="C542">
        <v>6770</v>
      </c>
      <c r="D542">
        <v>2166.3999999999996</v>
      </c>
      <c r="E542" s="1">
        <v>41699</v>
      </c>
      <c r="F542">
        <v>3</v>
      </c>
      <c r="G542" s="2" t="s">
        <v>13</v>
      </c>
      <c r="H542">
        <v>2014</v>
      </c>
      <c r="I542">
        <v>7988.6</v>
      </c>
      <c r="J542">
        <v>0</v>
      </c>
      <c r="K542">
        <f t="shared" si="46"/>
        <v>-0.67921278388916306</v>
      </c>
      <c r="L542" t="str">
        <f t="shared" si="47"/>
        <v>Normal</v>
      </c>
      <c r="M542">
        <f t="shared" si="48"/>
        <v>0</v>
      </c>
      <c r="N542" s="2" t="str">
        <f t="shared" si="49"/>
        <v>Normal</v>
      </c>
      <c r="O542" s="2">
        <f t="shared" si="50"/>
        <v>0</v>
      </c>
      <c r="P542" s="2" t="str">
        <f t="shared" si="51"/>
        <v>Normal</v>
      </c>
    </row>
    <row r="543" spans="1:16" x14ac:dyDescent="0.35">
      <c r="A543">
        <v>63828</v>
      </c>
      <c r="B543">
        <v>468072</v>
      </c>
      <c r="C543">
        <v>443250</v>
      </c>
      <c r="D543">
        <v>24822</v>
      </c>
      <c r="E543" s="1">
        <v>41730</v>
      </c>
      <c r="F543">
        <v>4</v>
      </c>
      <c r="G543" s="2" t="s">
        <v>20</v>
      </c>
      <c r="H543">
        <v>2014</v>
      </c>
      <c r="I543">
        <v>507078</v>
      </c>
      <c r="J543">
        <v>0</v>
      </c>
      <c r="K543">
        <f t="shared" si="46"/>
        <v>1.2616945624877172</v>
      </c>
      <c r="L543" t="str">
        <f t="shared" si="47"/>
        <v>Normal</v>
      </c>
      <c r="M543">
        <f t="shared" si="48"/>
        <v>0</v>
      </c>
      <c r="N543" s="2" t="str">
        <f t="shared" si="49"/>
        <v>Normal</v>
      </c>
      <c r="O543" s="2">
        <f t="shared" si="50"/>
        <v>0</v>
      </c>
      <c r="P543" s="2" t="str">
        <f t="shared" si="51"/>
        <v>Normal</v>
      </c>
    </row>
    <row r="544" spans="1:16" x14ac:dyDescent="0.35">
      <c r="A544">
        <v>2032.8</v>
      </c>
      <c r="B544">
        <v>14907.2</v>
      </c>
      <c r="C544">
        <v>12100</v>
      </c>
      <c r="D544">
        <v>2807.2000000000007</v>
      </c>
      <c r="E544" s="1">
        <v>41883</v>
      </c>
      <c r="F544">
        <v>9</v>
      </c>
      <c r="G544" s="2" t="s">
        <v>16</v>
      </c>
      <c r="H544">
        <v>2014</v>
      </c>
      <c r="I544">
        <v>14132.8</v>
      </c>
      <c r="J544">
        <v>0</v>
      </c>
      <c r="K544">
        <f t="shared" si="46"/>
        <v>-0.65397237651550899</v>
      </c>
      <c r="L544" t="str">
        <f t="shared" si="47"/>
        <v>Normal</v>
      </c>
      <c r="M544">
        <f t="shared" si="48"/>
        <v>0</v>
      </c>
      <c r="N544" s="2" t="str">
        <f t="shared" si="49"/>
        <v>Normal</v>
      </c>
      <c r="O544" s="2">
        <f t="shared" si="50"/>
        <v>0</v>
      </c>
      <c r="P544" s="2" t="str">
        <f t="shared" si="51"/>
        <v>Normal</v>
      </c>
    </row>
    <row r="545" spans="1:16" x14ac:dyDescent="0.35">
      <c r="A545">
        <v>2296.56</v>
      </c>
      <c r="B545">
        <v>16841.439999999999</v>
      </c>
      <c r="C545">
        <v>13670</v>
      </c>
      <c r="D545">
        <v>3171.4399999999987</v>
      </c>
      <c r="E545" s="1">
        <v>41913</v>
      </c>
      <c r="F545">
        <v>10</v>
      </c>
      <c r="G545" s="2" t="s">
        <v>17</v>
      </c>
      <c r="H545">
        <v>2014</v>
      </c>
      <c r="I545">
        <v>15966.56</v>
      </c>
      <c r="J545">
        <v>0</v>
      </c>
      <c r="K545">
        <f t="shared" si="46"/>
        <v>-0.6457957493368367</v>
      </c>
      <c r="L545" t="str">
        <f t="shared" si="47"/>
        <v>Normal</v>
      </c>
      <c r="M545">
        <f t="shared" si="48"/>
        <v>0</v>
      </c>
      <c r="N545" s="2" t="str">
        <f t="shared" si="49"/>
        <v>Normal</v>
      </c>
      <c r="O545" s="2">
        <f t="shared" si="50"/>
        <v>0</v>
      </c>
      <c r="P545" s="2" t="str">
        <f t="shared" si="51"/>
        <v>Normal</v>
      </c>
    </row>
    <row r="546" spans="1:16" x14ac:dyDescent="0.35">
      <c r="A546">
        <v>4116</v>
      </c>
      <c r="B546">
        <v>30184</v>
      </c>
      <c r="C546">
        <v>17150</v>
      </c>
      <c r="D546">
        <v>13034</v>
      </c>
      <c r="E546" s="1">
        <v>41548</v>
      </c>
      <c r="F546">
        <v>10</v>
      </c>
      <c r="G546" s="2" t="s">
        <v>17</v>
      </c>
      <c r="H546">
        <v>2013</v>
      </c>
      <c r="I546">
        <v>21266</v>
      </c>
      <c r="J546">
        <v>0</v>
      </c>
      <c r="K546">
        <f t="shared" si="46"/>
        <v>-0.58939264593236462</v>
      </c>
      <c r="L546" t="str">
        <f t="shared" si="47"/>
        <v>Normal</v>
      </c>
      <c r="M546">
        <f t="shared" si="48"/>
        <v>0</v>
      </c>
      <c r="N546" s="2" t="str">
        <f t="shared" si="49"/>
        <v>Normal</v>
      </c>
      <c r="O546" s="2">
        <f t="shared" si="50"/>
        <v>0</v>
      </c>
      <c r="P546" s="2" t="str">
        <f t="shared" si="51"/>
        <v>Normal</v>
      </c>
    </row>
    <row r="547" spans="1:16" x14ac:dyDescent="0.35">
      <c r="A547">
        <v>42696</v>
      </c>
      <c r="B547">
        <v>313104</v>
      </c>
      <c r="C547">
        <v>296500</v>
      </c>
      <c r="D547">
        <v>16604</v>
      </c>
      <c r="E547" s="1">
        <v>41609</v>
      </c>
      <c r="F547">
        <v>12</v>
      </c>
      <c r="G547" s="2" t="s">
        <v>12</v>
      </c>
      <c r="H547">
        <v>2013</v>
      </c>
      <c r="I547">
        <v>339196</v>
      </c>
      <c r="J547">
        <v>0</v>
      </c>
      <c r="K547">
        <f t="shared" si="46"/>
        <v>0.60659718024741105</v>
      </c>
      <c r="L547" t="str">
        <f t="shared" si="47"/>
        <v>Normal</v>
      </c>
      <c r="M547">
        <f t="shared" si="48"/>
        <v>0</v>
      </c>
      <c r="N547" s="2" t="str">
        <f t="shared" si="49"/>
        <v>Normal</v>
      </c>
      <c r="O547" s="2">
        <f t="shared" si="50"/>
        <v>0</v>
      </c>
      <c r="P547" s="2" t="str">
        <f t="shared" si="51"/>
        <v>Normal</v>
      </c>
    </row>
    <row r="548" spans="1:16" x14ac:dyDescent="0.35">
      <c r="A548">
        <v>125820</v>
      </c>
      <c r="B548">
        <v>922680</v>
      </c>
      <c r="C548">
        <v>873750</v>
      </c>
      <c r="D548">
        <v>48930</v>
      </c>
      <c r="E548" s="1">
        <v>41640</v>
      </c>
      <c r="F548">
        <v>1</v>
      </c>
      <c r="G548" s="2" t="s">
        <v>10</v>
      </c>
      <c r="H548">
        <v>2014</v>
      </c>
      <c r="I548">
        <v>999570</v>
      </c>
      <c r="J548">
        <v>0</v>
      </c>
      <c r="K548">
        <f t="shared" si="46"/>
        <v>3.1834623516151574</v>
      </c>
      <c r="L548" t="str">
        <f t="shared" si="47"/>
        <v>Anomaly</v>
      </c>
      <c r="M548">
        <f t="shared" si="48"/>
        <v>0</v>
      </c>
      <c r="N548" s="2" t="str">
        <f t="shared" si="49"/>
        <v>Normal</v>
      </c>
      <c r="O548" s="2">
        <f t="shared" si="50"/>
        <v>0</v>
      </c>
      <c r="P548" s="2" t="str">
        <f t="shared" si="51"/>
        <v>Normal</v>
      </c>
    </row>
    <row r="549" spans="1:16" x14ac:dyDescent="0.35">
      <c r="A549">
        <v>37212</v>
      </c>
      <c r="B549">
        <v>272888</v>
      </c>
      <c r="C549">
        <v>230360</v>
      </c>
      <c r="D549">
        <v>42528</v>
      </c>
      <c r="E549" s="1">
        <v>41791</v>
      </c>
      <c r="F549">
        <v>6</v>
      </c>
      <c r="G549" s="2" t="s">
        <v>11</v>
      </c>
      <c r="H549">
        <v>2014</v>
      </c>
      <c r="I549">
        <v>267572</v>
      </c>
      <c r="J549">
        <v>0</v>
      </c>
      <c r="K549">
        <f t="shared" si="46"/>
        <v>0.43659178349339622</v>
      </c>
      <c r="L549" t="str">
        <f t="shared" si="47"/>
        <v>Normal</v>
      </c>
      <c r="M549">
        <f t="shared" si="48"/>
        <v>0</v>
      </c>
      <c r="N549" s="2" t="str">
        <f t="shared" si="49"/>
        <v>Normal</v>
      </c>
      <c r="O549" s="2">
        <f t="shared" si="50"/>
        <v>0</v>
      </c>
      <c r="P549" s="2" t="str">
        <f t="shared" si="51"/>
        <v>Normal</v>
      </c>
    </row>
    <row r="550" spans="1:16" x14ac:dyDescent="0.35">
      <c r="A550">
        <v>32340</v>
      </c>
      <c r="B550">
        <v>237160</v>
      </c>
      <c r="C550">
        <v>258720</v>
      </c>
      <c r="D550">
        <v>-21560</v>
      </c>
      <c r="E550" s="1">
        <v>41913</v>
      </c>
      <c r="F550">
        <v>10</v>
      </c>
      <c r="G550" s="2" t="s">
        <v>17</v>
      </c>
      <c r="H550">
        <v>2014</v>
      </c>
      <c r="I550">
        <v>291060</v>
      </c>
      <c r="J550">
        <v>0</v>
      </c>
      <c r="K550">
        <f t="shared" si="46"/>
        <v>0.28555854261346192</v>
      </c>
      <c r="L550" t="str">
        <f t="shared" si="47"/>
        <v>Normal</v>
      </c>
      <c r="M550">
        <f t="shared" si="48"/>
        <v>0</v>
      </c>
      <c r="N550" s="2" t="str">
        <f t="shared" si="49"/>
        <v>Normal</v>
      </c>
      <c r="O550" s="2">
        <f t="shared" si="50"/>
        <v>0</v>
      </c>
      <c r="P550" s="2" t="str">
        <f t="shared" si="51"/>
        <v>Normal</v>
      </c>
    </row>
    <row r="551" spans="1:16" x14ac:dyDescent="0.35">
      <c r="A551">
        <v>2172</v>
      </c>
      <c r="B551">
        <v>15928</v>
      </c>
      <c r="C551">
        <v>9050</v>
      </c>
      <c r="D551">
        <v>6878</v>
      </c>
      <c r="E551" s="1">
        <v>41913</v>
      </c>
      <c r="F551">
        <v>10</v>
      </c>
      <c r="G551" s="2" t="s">
        <v>17</v>
      </c>
      <c r="H551">
        <v>2014</v>
      </c>
      <c r="I551">
        <v>11222</v>
      </c>
      <c r="J551">
        <v>0</v>
      </c>
      <c r="K551">
        <f t="shared" si="46"/>
        <v>-0.64965714106179662</v>
      </c>
      <c r="L551" t="str">
        <f t="shared" si="47"/>
        <v>Normal</v>
      </c>
      <c r="M551">
        <f t="shared" si="48"/>
        <v>0</v>
      </c>
      <c r="N551" s="2" t="str">
        <f t="shared" si="49"/>
        <v>Normal</v>
      </c>
      <c r="O551" s="2">
        <f t="shared" si="50"/>
        <v>0</v>
      </c>
      <c r="P551" s="2" t="str">
        <f t="shared" si="51"/>
        <v>Normal</v>
      </c>
    </row>
    <row r="552" spans="1:16" x14ac:dyDescent="0.35">
      <c r="A552">
        <v>4116</v>
      </c>
      <c r="B552">
        <v>30184</v>
      </c>
      <c r="C552">
        <v>17150</v>
      </c>
      <c r="D552">
        <v>13034</v>
      </c>
      <c r="E552" s="1">
        <v>41548</v>
      </c>
      <c r="F552">
        <v>10</v>
      </c>
      <c r="G552" s="2" t="s">
        <v>17</v>
      </c>
      <c r="H552">
        <v>2013</v>
      </c>
      <c r="I552">
        <v>21266</v>
      </c>
      <c r="J552">
        <v>0</v>
      </c>
      <c r="K552">
        <f t="shared" si="46"/>
        <v>-0.58939264593236462</v>
      </c>
      <c r="L552" t="str">
        <f t="shared" si="47"/>
        <v>Normal</v>
      </c>
      <c r="M552">
        <f t="shared" si="48"/>
        <v>0</v>
      </c>
      <c r="N552" s="2" t="str">
        <f t="shared" si="49"/>
        <v>Normal</v>
      </c>
      <c r="O552" s="2">
        <f t="shared" si="50"/>
        <v>0</v>
      </c>
      <c r="P552" s="2" t="str">
        <f t="shared" si="51"/>
        <v>Normal</v>
      </c>
    </row>
    <row r="553" spans="1:16" x14ac:dyDescent="0.35">
      <c r="A553">
        <v>66948</v>
      </c>
      <c r="B553">
        <v>490952</v>
      </c>
      <c r="C553">
        <v>414440</v>
      </c>
      <c r="D553">
        <v>76512</v>
      </c>
      <c r="E553" s="1">
        <v>41944</v>
      </c>
      <c r="F553">
        <v>11</v>
      </c>
      <c r="G553" s="2" t="s">
        <v>19</v>
      </c>
      <c r="H553">
        <v>2014</v>
      </c>
      <c r="I553">
        <v>481388</v>
      </c>
      <c r="J553">
        <v>0</v>
      </c>
      <c r="K553">
        <f t="shared" si="46"/>
        <v>1.358415357139892</v>
      </c>
      <c r="L553" t="str">
        <f t="shared" si="47"/>
        <v>Normal</v>
      </c>
      <c r="M553">
        <f t="shared" si="48"/>
        <v>0</v>
      </c>
      <c r="N553" s="2" t="str">
        <f t="shared" si="49"/>
        <v>Normal</v>
      </c>
      <c r="O553" s="2">
        <f t="shared" si="50"/>
        <v>0</v>
      </c>
      <c r="P553" s="2" t="str">
        <f t="shared" si="51"/>
        <v>Normal</v>
      </c>
    </row>
    <row r="554" spans="1:16" x14ac:dyDescent="0.35">
      <c r="A554">
        <v>48924</v>
      </c>
      <c r="B554">
        <v>358776</v>
      </c>
      <c r="C554">
        <v>339750</v>
      </c>
      <c r="D554">
        <v>19026</v>
      </c>
      <c r="E554" s="1">
        <v>41944</v>
      </c>
      <c r="F554">
        <v>11</v>
      </c>
      <c r="G554" s="2" t="s">
        <v>19</v>
      </c>
      <c r="H554">
        <v>2014</v>
      </c>
      <c r="I554">
        <v>388674</v>
      </c>
      <c r="J554">
        <v>0</v>
      </c>
      <c r="K554">
        <f t="shared" si="46"/>
        <v>0.79966676649540591</v>
      </c>
      <c r="L554" t="str">
        <f t="shared" si="47"/>
        <v>Normal</v>
      </c>
      <c r="M554">
        <f t="shared" si="48"/>
        <v>0</v>
      </c>
      <c r="N554" s="2" t="str">
        <f t="shared" si="49"/>
        <v>Normal</v>
      </c>
      <c r="O554" s="2">
        <f t="shared" si="50"/>
        <v>0</v>
      </c>
      <c r="P554" s="2" t="str">
        <f t="shared" si="51"/>
        <v>Normal</v>
      </c>
    </row>
    <row r="555" spans="1:16" x14ac:dyDescent="0.35">
      <c r="A555">
        <v>77400</v>
      </c>
      <c r="B555">
        <v>567600</v>
      </c>
      <c r="C555">
        <v>537500</v>
      </c>
      <c r="D555">
        <v>30100</v>
      </c>
      <c r="E555" s="1">
        <v>41944</v>
      </c>
      <c r="F555">
        <v>11</v>
      </c>
      <c r="G555" s="2" t="s">
        <v>19</v>
      </c>
      <c r="H555">
        <v>2014</v>
      </c>
      <c r="I555">
        <v>614900</v>
      </c>
      <c r="J555">
        <v>0</v>
      </c>
      <c r="K555">
        <f t="shared" si="46"/>
        <v>1.6824300192246773</v>
      </c>
      <c r="L555" t="str">
        <f t="shared" si="47"/>
        <v>Normal</v>
      </c>
      <c r="M555">
        <f t="shared" si="48"/>
        <v>0</v>
      </c>
      <c r="N555" s="2" t="str">
        <f t="shared" si="49"/>
        <v>Normal</v>
      </c>
      <c r="O555" s="2">
        <f t="shared" si="50"/>
        <v>0</v>
      </c>
      <c r="P555" s="2" t="str">
        <f t="shared" si="51"/>
        <v>Normal</v>
      </c>
    </row>
    <row r="556" spans="1:16" x14ac:dyDescent="0.35">
      <c r="A556">
        <v>50274</v>
      </c>
      <c r="B556">
        <v>368676</v>
      </c>
      <c r="C556">
        <v>311220</v>
      </c>
      <c r="D556">
        <v>57456</v>
      </c>
      <c r="E556" s="1">
        <v>41944</v>
      </c>
      <c r="F556">
        <v>11</v>
      </c>
      <c r="G556" s="2" t="s">
        <v>19</v>
      </c>
      <c r="H556">
        <v>2014</v>
      </c>
      <c r="I556">
        <v>361494</v>
      </c>
      <c r="J556">
        <v>0</v>
      </c>
      <c r="K556">
        <f t="shared" si="46"/>
        <v>0.8415171103352892</v>
      </c>
      <c r="L556" t="str">
        <f t="shared" si="47"/>
        <v>Normal</v>
      </c>
      <c r="M556">
        <f t="shared" si="48"/>
        <v>0</v>
      </c>
      <c r="N556" s="2" t="str">
        <f t="shared" si="49"/>
        <v>Normal</v>
      </c>
      <c r="O556" s="2">
        <f t="shared" si="50"/>
        <v>0</v>
      </c>
      <c r="P556" s="2" t="str">
        <f t="shared" si="51"/>
        <v>Normal</v>
      </c>
    </row>
    <row r="557" spans="1:16" x14ac:dyDescent="0.35">
      <c r="A557">
        <v>684</v>
      </c>
      <c r="B557">
        <v>5016</v>
      </c>
      <c r="C557">
        <v>3800</v>
      </c>
      <c r="D557">
        <v>1216</v>
      </c>
      <c r="E557" s="1">
        <v>41609</v>
      </c>
      <c r="F557">
        <v>12</v>
      </c>
      <c r="G557" s="2" t="s">
        <v>12</v>
      </c>
      <c r="H557">
        <v>2013</v>
      </c>
      <c r="I557">
        <v>4484</v>
      </c>
      <c r="J557">
        <v>0</v>
      </c>
      <c r="K557">
        <f t="shared" si="46"/>
        <v>-0.6957855200497568</v>
      </c>
      <c r="L557" t="str">
        <f t="shared" si="47"/>
        <v>Normal</v>
      </c>
      <c r="M557">
        <f t="shared" si="48"/>
        <v>0</v>
      </c>
      <c r="N557" s="2" t="str">
        <f t="shared" si="49"/>
        <v>Normal</v>
      </c>
      <c r="O557" s="2">
        <f t="shared" si="50"/>
        <v>0</v>
      </c>
      <c r="P557" s="2" t="str">
        <f t="shared" si="51"/>
        <v>Normal</v>
      </c>
    </row>
    <row r="558" spans="1:16" x14ac:dyDescent="0.35">
      <c r="A558">
        <v>2959.2</v>
      </c>
      <c r="B558">
        <v>21700.799999999999</v>
      </c>
      <c r="C558">
        <v>12330</v>
      </c>
      <c r="D558">
        <v>9370.7999999999993</v>
      </c>
      <c r="E558" s="1">
        <v>41974</v>
      </c>
      <c r="F558">
        <v>12</v>
      </c>
      <c r="G558" s="2" t="s">
        <v>12</v>
      </c>
      <c r="H558">
        <v>2014</v>
      </c>
      <c r="I558">
        <v>15289.2</v>
      </c>
      <c r="J558">
        <v>0</v>
      </c>
      <c r="K558">
        <f t="shared" si="46"/>
        <v>-0.62525374056494021</v>
      </c>
      <c r="L558" t="str">
        <f t="shared" si="47"/>
        <v>Normal</v>
      </c>
      <c r="M558">
        <f t="shared" si="48"/>
        <v>0</v>
      </c>
      <c r="N558" s="2" t="str">
        <f t="shared" si="49"/>
        <v>Normal</v>
      </c>
      <c r="O558" s="2">
        <f t="shared" si="50"/>
        <v>0</v>
      </c>
      <c r="P558" s="2" t="str">
        <f t="shared" si="51"/>
        <v>Normal</v>
      </c>
    </row>
    <row r="559" spans="1:16" x14ac:dyDescent="0.35">
      <c r="A559">
        <v>58590</v>
      </c>
      <c r="B559">
        <v>429660</v>
      </c>
      <c r="C559">
        <v>362700</v>
      </c>
      <c r="D559">
        <v>66960</v>
      </c>
      <c r="E559" s="1">
        <v>41821</v>
      </c>
      <c r="F559">
        <v>7</v>
      </c>
      <c r="G559" s="2" t="s">
        <v>14</v>
      </c>
      <c r="H559">
        <v>2014</v>
      </c>
      <c r="I559">
        <v>421290</v>
      </c>
      <c r="J559">
        <v>0</v>
      </c>
      <c r="K559">
        <f t="shared" si="46"/>
        <v>1.0993152283889702</v>
      </c>
      <c r="L559" t="str">
        <f t="shared" si="47"/>
        <v>Normal</v>
      </c>
      <c r="M559">
        <f t="shared" si="48"/>
        <v>0</v>
      </c>
      <c r="N559" s="2" t="str">
        <f t="shared" si="49"/>
        <v>Normal</v>
      </c>
      <c r="O559" s="2">
        <f t="shared" si="50"/>
        <v>0</v>
      </c>
      <c r="P559" s="2" t="str">
        <f t="shared" si="51"/>
        <v>Normal</v>
      </c>
    </row>
    <row r="560" spans="1:16" x14ac:dyDescent="0.35">
      <c r="A560">
        <v>41412</v>
      </c>
      <c r="B560">
        <v>303688</v>
      </c>
      <c r="C560">
        <v>256360</v>
      </c>
      <c r="D560">
        <v>47328</v>
      </c>
      <c r="E560" s="1">
        <v>41913</v>
      </c>
      <c r="F560">
        <v>10</v>
      </c>
      <c r="G560" s="2" t="s">
        <v>17</v>
      </c>
      <c r="H560">
        <v>2014</v>
      </c>
      <c r="I560">
        <v>297772</v>
      </c>
      <c r="J560">
        <v>0</v>
      </c>
      <c r="K560">
        <f t="shared" si="46"/>
        <v>0.56679285321747752</v>
      </c>
      <c r="L560" t="str">
        <f t="shared" si="47"/>
        <v>Normal</v>
      </c>
      <c r="M560">
        <f t="shared" si="48"/>
        <v>0</v>
      </c>
      <c r="N560" s="2" t="str">
        <f t="shared" si="49"/>
        <v>Normal</v>
      </c>
      <c r="O560" s="2">
        <f t="shared" si="50"/>
        <v>0</v>
      </c>
      <c r="P560" s="2" t="str">
        <f t="shared" si="51"/>
        <v>Normal</v>
      </c>
    </row>
    <row r="561" spans="1:16" x14ac:dyDescent="0.35">
      <c r="A561">
        <v>2172</v>
      </c>
      <c r="B561">
        <v>15928</v>
      </c>
      <c r="C561">
        <v>9050</v>
      </c>
      <c r="D561">
        <v>6878</v>
      </c>
      <c r="E561" s="1">
        <v>41913</v>
      </c>
      <c r="F561">
        <v>10</v>
      </c>
      <c r="G561" s="2" t="s">
        <v>17</v>
      </c>
      <c r="H561">
        <v>2014</v>
      </c>
      <c r="I561">
        <v>11222</v>
      </c>
      <c r="J561">
        <v>0</v>
      </c>
      <c r="K561">
        <f t="shared" si="46"/>
        <v>-0.64965714106179662</v>
      </c>
      <c r="L561" t="str">
        <f t="shared" si="47"/>
        <v>Normal</v>
      </c>
      <c r="M561">
        <f t="shared" si="48"/>
        <v>0</v>
      </c>
      <c r="N561" s="2" t="str">
        <f t="shared" si="49"/>
        <v>Normal</v>
      </c>
      <c r="O561" s="2">
        <f t="shared" si="50"/>
        <v>0</v>
      </c>
      <c r="P561" s="2" t="str">
        <f t="shared" si="51"/>
        <v>Normal</v>
      </c>
    </row>
    <row r="562" spans="1:16" x14ac:dyDescent="0.35">
      <c r="A562">
        <v>3036.96</v>
      </c>
      <c r="B562">
        <v>22271.040000000001</v>
      </c>
      <c r="C562">
        <v>6327</v>
      </c>
      <c r="D562">
        <v>15944.04</v>
      </c>
      <c r="E562" s="1">
        <v>41760</v>
      </c>
      <c r="F562">
        <v>5</v>
      </c>
      <c r="G562" s="2" t="s">
        <v>21</v>
      </c>
      <c r="H562">
        <v>2014</v>
      </c>
      <c r="I562">
        <v>9363.9599999999991</v>
      </c>
      <c r="J562">
        <v>0</v>
      </c>
      <c r="K562">
        <f t="shared" si="46"/>
        <v>-0.62284316075976287</v>
      </c>
      <c r="L562" t="str">
        <f t="shared" si="47"/>
        <v>Normal</v>
      </c>
      <c r="M562">
        <f t="shared" si="48"/>
        <v>0</v>
      </c>
      <c r="N562" s="2" t="str">
        <f t="shared" si="49"/>
        <v>Normal</v>
      </c>
      <c r="O562" s="2">
        <f t="shared" si="50"/>
        <v>0</v>
      </c>
      <c r="P562" s="2" t="str">
        <f t="shared" si="51"/>
        <v>Normal</v>
      </c>
    </row>
    <row r="563" spans="1:16" x14ac:dyDescent="0.35">
      <c r="A563">
        <v>6974.0999999999995</v>
      </c>
      <c r="B563">
        <v>51143.399999999994</v>
      </c>
      <c r="C563">
        <v>38745</v>
      </c>
      <c r="D563">
        <v>12398.399999999998</v>
      </c>
      <c r="E563" s="1">
        <v>41821</v>
      </c>
      <c r="F563">
        <v>7</v>
      </c>
      <c r="G563" s="2" t="s">
        <v>14</v>
      </c>
      <c r="H563">
        <v>2014</v>
      </c>
      <c r="I563">
        <v>45719.1</v>
      </c>
      <c r="J563">
        <v>0</v>
      </c>
      <c r="K563">
        <f t="shared" si="46"/>
        <v>-0.50079081798512737</v>
      </c>
      <c r="L563" t="str">
        <f t="shared" si="47"/>
        <v>Normal</v>
      </c>
      <c r="M563">
        <f t="shared" si="48"/>
        <v>0</v>
      </c>
      <c r="N563" s="2" t="str">
        <f t="shared" si="49"/>
        <v>Normal</v>
      </c>
      <c r="O563" s="2">
        <f t="shared" si="50"/>
        <v>0</v>
      </c>
      <c r="P563" s="2" t="str">
        <f t="shared" si="51"/>
        <v>Normal</v>
      </c>
    </row>
    <row r="564" spans="1:16" x14ac:dyDescent="0.35">
      <c r="A564">
        <v>26166</v>
      </c>
      <c r="B564">
        <v>191884</v>
      </c>
      <c r="C564">
        <v>161980</v>
      </c>
      <c r="D564">
        <v>29904</v>
      </c>
      <c r="E564" s="1">
        <v>41518</v>
      </c>
      <c r="F564">
        <v>9</v>
      </c>
      <c r="G564" s="2" t="s">
        <v>16</v>
      </c>
      <c r="H564">
        <v>2013</v>
      </c>
      <c r="I564">
        <v>188146</v>
      </c>
      <c r="J564">
        <v>0</v>
      </c>
      <c r="K564">
        <f t="shared" si="46"/>
        <v>9.4162970119062342E-2</v>
      </c>
      <c r="L564" t="str">
        <f t="shared" si="47"/>
        <v>Normal</v>
      </c>
      <c r="M564">
        <f t="shared" si="48"/>
        <v>0</v>
      </c>
      <c r="N564" s="2" t="str">
        <f t="shared" si="49"/>
        <v>Normal</v>
      </c>
      <c r="O564" s="2">
        <f t="shared" si="50"/>
        <v>0</v>
      </c>
      <c r="P564" s="2" t="str">
        <f t="shared" si="51"/>
        <v>Normal</v>
      </c>
    </row>
    <row r="565" spans="1:16" x14ac:dyDescent="0.35">
      <c r="A565">
        <v>41412</v>
      </c>
      <c r="B565">
        <v>303688</v>
      </c>
      <c r="C565">
        <v>256360</v>
      </c>
      <c r="D565">
        <v>47328</v>
      </c>
      <c r="E565" s="1">
        <v>41913</v>
      </c>
      <c r="F565">
        <v>10</v>
      </c>
      <c r="G565" s="2" t="s">
        <v>17</v>
      </c>
      <c r="H565">
        <v>2014</v>
      </c>
      <c r="I565">
        <v>297772</v>
      </c>
      <c r="J565">
        <v>0</v>
      </c>
      <c r="K565">
        <f t="shared" si="46"/>
        <v>0.56679285321747752</v>
      </c>
      <c r="L565" t="str">
        <f t="shared" si="47"/>
        <v>Normal</v>
      </c>
      <c r="M565">
        <f t="shared" si="48"/>
        <v>0</v>
      </c>
      <c r="N565" s="2" t="str">
        <f t="shared" si="49"/>
        <v>Normal</v>
      </c>
      <c r="O565" s="2">
        <f t="shared" si="50"/>
        <v>0</v>
      </c>
      <c r="P565" s="2" t="str">
        <f t="shared" si="51"/>
        <v>Normal</v>
      </c>
    </row>
    <row r="566" spans="1:16" x14ac:dyDescent="0.35">
      <c r="A566">
        <v>35805</v>
      </c>
      <c r="B566">
        <v>262570</v>
      </c>
      <c r="C566">
        <v>286440</v>
      </c>
      <c r="D566">
        <v>-23870</v>
      </c>
      <c r="E566" s="1">
        <v>41944</v>
      </c>
      <c r="F566">
        <v>11</v>
      </c>
      <c r="G566" s="2" t="s">
        <v>19</v>
      </c>
      <c r="H566">
        <v>2014</v>
      </c>
      <c r="I566">
        <v>322245</v>
      </c>
      <c r="J566">
        <v>0</v>
      </c>
      <c r="K566">
        <f t="shared" si="46"/>
        <v>0.39297442513582898</v>
      </c>
      <c r="L566" t="str">
        <f t="shared" si="47"/>
        <v>Normal</v>
      </c>
      <c r="M566">
        <f t="shared" si="48"/>
        <v>0</v>
      </c>
      <c r="N566" s="2" t="str">
        <f t="shared" si="49"/>
        <v>Normal</v>
      </c>
      <c r="O566" s="2">
        <f t="shared" si="50"/>
        <v>0</v>
      </c>
      <c r="P566" s="2" t="str">
        <f t="shared" si="51"/>
        <v>Normal</v>
      </c>
    </row>
    <row r="567" spans="1:16" x14ac:dyDescent="0.35">
      <c r="A567">
        <v>2959.2</v>
      </c>
      <c r="B567">
        <v>21700.799999999999</v>
      </c>
      <c r="C567">
        <v>12330</v>
      </c>
      <c r="D567">
        <v>9370.7999999999993</v>
      </c>
      <c r="E567" s="1">
        <v>41974</v>
      </c>
      <c r="F567">
        <v>12</v>
      </c>
      <c r="G567" s="2" t="s">
        <v>12</v>
      </c>
      <c r="H567">
        <v>2014</v>
      </c>
      <c r="I567">
        <v>15289.2</v>
      </c>
      <c r="J567">
        <v>0</v>
      </c>
      <c r="K567">
        <f t="shared" si="46"/>
        <v>-0.62525374056494021</v>
      </c>
      <c r="L567" t="str">
        <f t="shared" si="47"/>
        <v>Normal</v>
      </c>
      <c r="M567">
        <f t="shared" si="48"/>
        <v>0</v>
      </c>
      <c r="N567" s="2" t="str">
        <f t="shared" si="49"/>
        <v>Normal</v>
      </c>
      <c r="O567" s="2">
        <f t="shared" si="50"/>
        <v>0</v>
      </c>
      <c r="P567" s="2" t="str">
        <f t="shared" si="51"/>
        <v>Normal</v>
      </c>
    </row>
    <row r="568" spans="1:16" x14ac:dyDescent="0.35">
      <c r="A568">
        <v>11340</v>
      </c>
      <c r="B568">
        <v>83160</v>
      </c>
      <c r="C568">
        <v>70200</v>
      </c>
      <c r="D568">
        <v>12960</v>
      </c>
      <c r="E568" s="1">
        <v>41671</v>
      </c>
      <c r="F568">
        <v>2</v>
      </c>
      <c r="G568" s="2" t="s">
        <v>18</v>
      </c>
      <c r="H568">
        <v>2014</v>
      </c>
      <c r="I568">
        <v>81540</v>
      </c>
      <c r="J568">
        <v>0</v>
      </c>
      <c r="K568">
        <f t="shared" si="46"/>
        <v>-0.36544680600694474</v>
      </c>
      <c r="L568" t="str">
        <f t="shared" si="47"/>
        <v>Normal</v>
      </c>
      <c r="M568">
        <f t="shared" si="48"/>
        <v>0</v>
      </c>
      <c r="N568" s="2" t="str">
        <f t="shared" si="49"/>
        <v>Normal</v>
      </c>
      <c r="O568" s="2">
        <f t="shared" si="50"/>
        <v>0</v>
      </c>
      <c r="P568" s="2" t="str">
        <f t="shared" si="51"/>
        <v>Normal</v>
      </c>
    </row>
    <row r="569" spans="1:16" x14ac:dyDescent="0.35">
      <c r="A569">
        <v>2874.06</v>
      </c>
      <c r="B569">
        <v>21076.44</v>
      </c>
      <c r="C569">
        <v>17107.5</v>
      </c>
      <c r="D569">
        <v>3968.9399999999987</v>
      </c>
      <c r="E569" s="1">
        <v>41821</v>
      </c>
      <c r="F569">
        <v>7</v>
      </c>
      <c r="G569" s="2" t="s">
        <v>14</v>
      </c>
      <c r="H569">
        <v>2014</v>
      </c>
      <c r="I569">
        <v>19981.560000000001</v>
      </c>
      <c r="J569">
        <v>0</v>
      </c>
      <c r="K569">
        <f t="shared" si="46"/>
        <v>-0.62789310224977546</v>
      </c>
      <c r="L569" t="str">
        <f t="shared" si="47"/>
        <v>Normal</v>
      </c>
      <c r="M569">
        <f t="shared" si="48"/>
        <v>0</v>
      </c>
      <c r="N569" s="2" t="str">
        <f t="shared" si="49"/>
        <v>Normal</v>
      </c>
      <c r="O569" s="2">
        <f t="shared" si="50"/>
        <v>0</v>
      </c>
      <c r="P569" s="2" t="str">
        <f t="shared" si="51"/>
        <v>Normal</v>
      </c>
    </row>
    <row r="570" spans="1:16" x14ac:dyDescent="0.35">
      <c r="A570">
        <v>2296.56</v>
      </c>
      <c r="B570">
        <v>16841.439999999999</v>
      </c>
      <c r="C570">
        <v>13670</v>
      </c>
      <c r="D570">
        <v>3171.4399999999987</v>
      </c>
      <c r="E570" s="1">
        <v>41913</v>
      </c>
      <c r="F570">
        <v>10</v>
      </c>
      <c r="G570" s="2" t="s">
        <v>17</v>
      </c>
      <c r="H570">
        <v>2014</v>
      </c>
      <c r="I570">
        <v>15966.56</v>
      </c>
      <c r="J570">
        <v>0</v>
      </c>
      <c r="K570">
        <f t="shared" si="46"/>
        <v>-0.6457957493368367</v>
      </c>
      <c r="L570" t="str">
        <f t="shared" si="47"/>
        <v>Normal</v>
      </c>
      <c r="M570">
        <f t="shared" si="48"/>
        <v>0</v>
      </c>
      <c r="N570" s="2" t="str">
        <f t="shared" si="49"/>
        <v>Normal</v>
      </c>
      <c r="O570" s="2">
        <f t="shared" si="50"/>
        <v>0</v>
      </c>
      <c r="P570" s="2" t="str">
        <f t="shared" si="51"/>
        <v>Normal</v>
      </c>
    </row>
    <row r="571" spans="1:16" x14ac:dyDescent="0.35">
      <c r="A571">
        <v>4586.3999999999996</v>
      </c>
      <c r="B571">
        <v>33633.599999999999</v>
      </c>
      <c r="C571">
        <v>25480</v>
      </c>
      <c r="D571">
        <v>8153.5999999999985</v>
      </c>
      <c r="E571" s="1">
        <v>41579</v>
      </c>
      <c r="F571">
        <v>11</v>
      </c>
      <c r="G571" s="2" t="s">
        <v>19</v>
      </c>
      <c r="H571">
        <v>2013</v>
      </c>
      <c r="I571">
        <v>30066.400000000001</v>
      </c>
      <c r="J571">
        <v>0</v>
      </c>
      <c r="K571">
        <f t="shared" si="46"/>
        <v>-0.57481012612326754</v>
      </c>
      <c r="L571" t="str">
        <f t="shared" si="47"/>
        <v>Normal</v>
      </c>
      <c r="M571">
        <f t="shared" si="48"/>
        <v>0</v>
      </c>
      <c r="N571" s="2" t="str">
        <f t="shared" si="49"/>
        <v>Normal</v>
      </c>
      <c r="O571" s="2">
        <f t="shared" si="50"/>
        <v>0</v>
      </c>
      <c r="P571" s="2" t="str">
        <f t="shared" si="51"/>
        <v>Normal</v>
      </c>
    </row>
    <row r="572" spans="1:16" x14ac:dyDescent="0.35">
      <c r="A572">
        <v>6051.6</v>
      </c>
      <c r="B572">
        <v>44378.399999999994</v>
      </c>
      <c r="C572">
        <v>25215</v>
      </c>
      <c r="D572">
        <v>19163.399999999998</v>
      </c>
      <c r="E572" s="1">
        <v>41640</v>
      </c>
      <c r="F572">
        <v>1</v>
      </c>
      <c r="G572" s="2" t="s">
        <v>10</v>
      </c>
      <c r="H572">
        <v>2014</v>
      </c>
      <c r="I572">
        <v>31266.6</v>
      </c>
      <c r="J572">
        <v>0</v>
      </c>
      <c r="K572">
        <f t="shared" si="46"/>
        <v>-0.52938855294238085</v>
      </c>
      <c r="L572" t="str">
        <f t="shared" si="47"/>
        <v>Normal</v>
      </c>
      <c r="M572">
        <f t="shared" si="48"/>
        <v>0</v>
      </c>
      <c r="N572" s="2" t="str">
        <f t="shared" si="49"/>
        <v>Normal</v>
      </c>
      <c r="O572" s="2">
        <f t="shared" si="50"/>
        <v>0</v>
      </c>
      <c r="P572" s="2" t="str">
        <f t="shared" si="51"/>
        <v>Normal</v>
      </c>
    </row>
    <row r="573" spans="1:16" x14ac:dyDescent="0.35">
      <c r="A573">
        <v>3831.84</v>
      </c>
      <c r="B573">
        <v>28100.16</v>
      </c>
      <c r="C573">
        <v>7983</v>
      </c>
      <c r="D573">
        <v>20117.16</v>
      </c>
      <c r="E573" s="1">
        <v>41760</v>
      </c>
      <c r="F573">
        <v>5</v>
      </c>
      <c r="G573" s="2" t="s">
        <v>21</v>
      </c>
      <c r="H573">
        <v>2014</v>
      </c>
      <c r="I573">
        <v>11814.84</v>
      </c>
      <c r="J573">
        <v>0</v>
      </c>
      <c r="K573">
        <f t="shared" si="46"/>
        <v>-0.59820167830683957</v>
      </c>
      <c r="L573" t="str">
        <f t="shared" si="47"/>
        <v>Normal</v>
      </c>
      <c r="M573">
        <f t="shared" si="48"/>
        <v>0</v>
      </c>
      <c r="N573" s="2" t="str">
        <f t="shared" si="49"/>
        <v>Normal</v>
      </c>
      <c r="O573" s="2">
        <f t="shared" si="50"/>
        <v>0</v>
      </c>
      <c r="P573" s="2" t="str">
        <f t="shared" si="51"/>
        <v>Normal</v>
      </c>
    </row>
    <row r="574" spans="1:16" x14ac:dyDescent="0.35">
      <c r="A574">
        <v>3674.4</v>
      </c>
      <c r="B574">
        <v>26945.599999999999</v>
      </c>
      <c r="C574">
        <v>15310</v>
      </c>
      <c r="D574">
        <v>11635.599999999999</v>
      </c>
      <c r="E574" s="1">
        <v>41974</v>
      </c>
      <c r="F574">
        <v>12</v>
      </c>
      <c r="G574" s="2" t="s">
        <v>12</v>
      </c>
      <c r="H574">
        <v>2014</v>
      </c>
      <c r="I574">
        <v>18984.400000000001</v>
      </c>
      <c r="J574">
        <v>0</v>
      </c>
      <c r="K574">
        <f t="shared" si="46"/>
        <v>-0.60308235840621094</v>
      </c>
      <c r="L574" t="str">
        <f t="shared" si="47"/>
        <v>Normal</v>
      </c>
      <c r="M574">
        <f t="shared" si="48"/>
        <v>0</v>
      </c>
      <c r="N574" s="2" t="str">
        <f t="shared" si="49"/>
        <v>Normal</v>
      </c>
      <c r="O574" s="2">
        <f t="shared" si="50"/>
        <v>0</v>
      </c>
      <c r="P574" s="2" t="str">
        <f t="shared" si="51"/>
        <v>Normal</v>
      </c>
    </row>
    <row r="575" spans="1:16" x14ac:dyDescent="0.35">
      <c r="A575">
        <v>1252.44</v>
      </c>
      <c r="B575">
        <v>9184.56</v>
      </c>
      <c r="C575">
        <v>7455</v>
      </c>
      <c r="D575">
        <v>1729.5599999999995</v>
      </c>
      <c r="E575" s="1">
        <v>41699</v>
      </c>
      <c r="F575">
        <v>3</v>
      </c>
      <c r="G575" s="2" t="s">
        <v>13</v>
      </c>
      <c r="H575">
        <v>2014</v>
      </c>
      <c r="I575">
        <v>8707.44</v>
      </c>
      <c r="J575">
        <v>0</v>
      </c>
      <c r="K575">
        <f t="shared" si="46"/>
        <v>-0.67816373527024332</v>
      </c>
      <c r="L575" t="str">
        <f t="shared" si="47"/>
        <v>Normal</v>
      </c>
      <c r="M575">
        <f t="shared" si="48"/>
        <v>0</v>
      </c>
      <c r="N575" s="2" t="str">
        <f t="shared" si="49"/>
        <v>Normal</v>
      </c>
      <c r="O575" s="2">
        <f t="shared" si="50"/>
        <v>0</v>
      </c>
      <c r="P575" s="2" t="str">
        <f t="shared" si="51"/>
        <v>Normal</v>
      </c>
    </row>
    <row r="576" spans="1:16" x14ac:dyDescent="0.35">
      <c r="A576">
        <v>3674.4</v>
      </c>
      <c r="B576">
        <v>26945.599999999999</v>
      </c>
      <c r="C576">
        <v>15310</v>
      </c>
      <c r="D576">
        <v>11635.599999999999</v>
      </c>
      <c r="E576" s="1">
        <v>41974</v>
      </c>
      <c r="F576">
        <v>12</v>
      </c>
      <c r="G576" s="2" t="s">
        <v>12</v>
      </c>
      <c r="H576">
        <v>2014</v>
      </c>
      <c r="I576">
        <v>18984.400000000001</v>
      </c>
      <c r="J576">
        <v>0</v>
      </c>
      <c r="K576">
        <f t="shared" si="46"/>
        <v>-0.60308235840621094</v>
      </c>
      <c r="L576" t="str">
        <f t="shared" si="47"/>
        <v>Normal</v>
      </c>
      <c r="M576">
        <f t="shared" si="48"/>
        <v>0</v>
      </c>
      <c r="N576" s="2" t="str">
        <f t="shared" si="49"/>
        <v>Normal</v>
      </c>
      <c r="O576" s="2">
        <f t="shared" si="50"/>
        <v>0</v>
      </c>
      <c r="P576" s="2" t="str">
        <f t="shared" si="51"/>
        <v>Normal</v>
      </c>
    </row>
    <row r="577" spans="1:16" x14ac:dyDescent="0.35">
      <c r="A577">
        <v>3975.84</v>
      </c>
      <c r="B577">
        <v>29156.16</v>
      </c>
      <c r="C577">
        <v>8283</v>
      </c>
      <c r="D577">
        <v>20873.16</v>
      </c>
      <c r="E577" s="1">
        <v>41518</v>
      </c>
      <c r="F577">
        <v>9</v>
      </c>
      <c r="G577" s="2" t="s">
        <v>16</v>
      </c>
      <c r="H577">
        <v>2013</v>
      </c>
      <c r="I577">
        <v>12258.84</v>
      </c>
      <c r="J577">
        <v>0</v>
      </c>
      <c r="K577">
        <f t="shared" si="46"/>
        <v>-0.5937376416305854</v>
      </c>
      <c r="L577" t="str">
        <f t="shared" si="47"/>
        <v>Normal</v>
      </c>
      <c r="M577">
        <f t="shared" si="48"/>
        <v>0</v>
      </c>
      <c r="N577" s="2" t="str">
        <f t="shared" si="49"/>
        <v>Normal</v>
      </c>
      <c r="O577" s="2">
        <f t="shared" si="50"/>
        <v>0</v>
      </c>
      <c r="P577" s="2" t="str">
        <f t="shared" si="51"/>
        <v>Normal</v>
      </c>
    </row>
    <row r="578" spans="1:16" x14ac:dyDescent="0.35">
      <c r="A578">
        <v>5005.6499999999996</v>
      </c>
      <c r="B578">
        <v>33499.35</v>
      </c>
      <c r="C578">
        <v>25670</v>
      </c>
      <c r="D578">
        <v>7829.3499999999985</v>
      </c>
      <c r="E578" s="1">
        <v>41791</v>
      </c>
      <c r="F578">
        <v>6</v>
      </c>
      <c r="G578" s="2" t="s">
        <v>11</v>
      </c>
      <c r="H578">
        <v>2014</v>
      </c>
      <c r="I578">
        <v>30675.65</v>
      </c>
      <c r="J578">
        <v>0</v>
      </c>
      <c r="K578">
        <f t="shared" ref="K578:K641" si="52">(B578 - $U$2) / $U$3</f>
        <v>-0.57537764214958109</v>
      </c>
      <c r="L578" t="str">
        <f t="shared" ref="L578:L641" si="53">IF(ABS(K578) &gt; 3, "Anomaly", "Normal")</f>
        <v>Normal</v>
      </c>
      <c r="M578">
        <f t="shared" ref="M578:M641" si="54">IFERROR((I578-$S$6)/$S$7,0)</f>
        <v>0</v>
      </c>
      <c r="N578" s="2" t="str">
        <f t="shared" ref="N578:N641" si="55">IF(ABS(M578) &gt; 3, "Anomaly", "Normal")</f>
        <v>Normal</v>
      </c>
      <c r="O578" s="2">
        <f t="shared" ref="O578:O641" si="56">IFERROR((J578-$Q$2)/$Q$3,0)</f>
        <v>0</v>
      </c>
      <c r="P578" s="2" t="str">
        <f t="shared" ref="P578:P641" si="57">IF(ABS(O578)&gt;3,"Anomaly","Normal")</f>
        <v>Normal</v>
      </c>
    </row>
    <row r="579" spans="1:16" x14ac:dyDescent="0.35">
      <c r="A579">
        <v>5005.6499999999996</v>
      </c>
      <c r="B579">
        <v>33499.35</v>
      </c>
      <c r="C579">
        <v>25670</v>
      </c>
      <c r="D579">
        <v>7829.3499999999985</v>
      </c>
      <c r="E579" s="1">
        <v>41791</v>
      </c>
      <c r="F579">
        <v>6</v>
      </c>
      <c r="G579" s="2" t="s">
        <v>11</v>
      </c>
      <c r="H579">
        <v>2014</v>
      </c>
      <c r="I579">
        <v>30675.65</v>
      </c>
      <c r="J579">
        <v>0</v>
      </c>
      <c r="K579">
        <f t="shared" si="52"/>
        <v>-0.57537764214958109</v>
      </c>
      <c r="L579" t="str">
        <f t="shared" si="53"/>
        <v>Normal</v>
      </c>
      <c r="M579">
        <f t="shared" si="54"/>
        <v>0</v>
      </c>
      <c r="N579" s="2" t="str">
        <f t="shared" si="55"/>
        <v>Normal</v>
      </c>
      <c r="O579" s="2">
        <f t="shared" si="56"/>
        <v>0</v>
      </c>
      <c r="P579" s="2" t="str">
        <f t="shared" si="57"/>
        <v>Normal</v>
      </c>
    </row>
    <row r="580" spans="1:16" x14ac:dyDescent="0.35">
      <c r="A580">
        <v>41996.5</v>
      </c>
      <c r="B580">
        <v>281053.5</v>
      </c>
      <c r="C580">
        <v>239980</v>
      </c>
      <c r="D580">
        <v>41073.5</v>
      </c>
      <c r="E580" s="1">
        <v>41699</v>
      </c>
      <c r="F580">
        <v>3</v>
      </c>
      <c r="G580" s="2" t="s">
        <v>13</v>
      </c>
      <c r="H580">
        <v>2014</v>
      </c>
      <c r="I580">
        <v>281976.5</v>
      </c>
      <c r="J580">
        <v>0</v>
      </c>
      <c r="K580">
        <f t="shared" si="52"/>
        <v>0.47110986254638282</v>
      </c>
      <c r="L580" t="str">
        <f t="shared" si="53"/>
        <v>Normal</v>
      </c>
      <c r="M580">
        <f t="shared" si="54"/>
        <v>0</v>
      </c>
      <c r="N580" s="2" t="str">
        <f t="shared" si="55"/>
        <v>Normal</v>
      </c>
      <c r="O580" s="2">
        <f t="shared" si="56"/>
        <v>0</v>
      </c>
      <c r="P580" s="2" t="str">
        <f t="shared" si="57"/>
        <v>Normal</v>
      </c>
    </row>
    <row r="581" spans="1:16" x14ac:dyDescent="0.35">
      <c r="A581">
        <v>81445</v>
      </c>
      <c r="B581">
        <v>545055</v>
      </c>
      <c r="C581">
        <v>465400</v>
      </c>
      <c r="D581">
        <v>79655</v>
      </c>
      <c r="E581" s="1">
        <v>41699</v>
      </c>
      <c r="F581">
        <v>3</v>
      </c>
      <c r="G581" s="2" t="s">
        <v>13</v>
      </c>
      <c r="H581">
        <v>2014</v>
      </c>
      <c r="I581">
        <v>546845</v>
      </c>
      <c r="J581">
        <v>0</v>
      </c>
      <c r="K581">
        <f t="shared" si="52"/>
        <v>1.5871253725711247</v>
      </c>
      <c r="L581" t="str">
        <f t="shared" si="53"/>
        <v>Normal</v>
      </c>
      <c r="M581">
        <f t="shared" si="54"/>
        <v>0</v>
      </c>
      <c r="N581" s="2" t="str">
        <f t="shared" si="55"/>
        <v>Normal</v>
      </c>
      <c r="O581" s="2">
        <f t="shared" si="56"/>
        <v>0</v>
      </c>
      <c r="P581" s="2" t="str">
        <f t="shared" si="57"/>
        <v>Normal</v>
      </c>
    </row>
    <row r="582" spans="1:16" x14ac:dyDescent="0.35">
      <c r="A582">
        <v>1149.2</v>
      </c>
      <c r="B582">
        <v>7690.8</v>
      </c>
      <c r="C582">
        <v>4420</v>
      </c>
      <c r="D582">
        <v>3270.8</v>
      </c>
      <c r="E582" s="1">
        <v>41518</v>
      </c>
      <c r="F582">
        <v>9</v>
      </c>
      <c r="G582" s="2" t="s">
        <v>16</v>
      </c>
      <c r="H582">
        <v>2013</v>
      </c>
      <c r="I582">
        <v>5569.2</v>
      </c>
      <c r="J582">
        <v>0</v>
      </c>
      <c r="K582">
        <f t="shared" si="52"/>
        <v>-0.68447831805956294</v>
      </c>
      <c r="L582" t="str">
        <f t="shared" si="53"/>
        <v>Normal</v>
      </c>
      <c r="M582">
        <f t="shared" si="54"/>
        <v>0</v>
      </c>
      <c r="N582" s="2" t="str">
        <f t="shared" si="55"/>
        <v>Normal</v>
      </c>
      <c r="O582" s="2">
        <f t="shared" si="56"/>
        <v>0</v>
      </c>
      <c r="P582" s="2" t="str">
        <f t="shared" si="57"/>
        <v>Normal</v>
      </c>
    </row>
    <row r="583" spans="1:16" x14ac:dyDescent="0.35">
      <c r="A583">
        <v>44703.75</v>
      </c>
      <c r="B583">
        <v>299171.25</v>
      </c>
      <c r="C583">
        <v>255450</v>
      </c>
      <c r="D583">
        <v>43721.25</v>
      </c>
      <c r="E583" s="1">
        <v>41640</v>
      </c>
      <c r="F583">
        <v>1</v>
      </c>
      <c r="G583" s="2" t="s">
        <v>10</v>
      </c>
      <c r="H583">
        <v>2014</v>
      </c>
      <c r="I583">
        <v>300153.75</v>
      </c>
      <c r="J583">
        <v>0</v>
      </c>
      <c r="K583">
        <f t="shared" si="52"/>
        <v>0.54769916225396309</v>
      </c>
      <c r="L583" t="str">
        <f t="shared" si="53"/>
        <v>Normal</v>
      </c>
      <c r="M583">
        <f t="shared" si="54"/>
        <v>0</v>
      </c>
      <c r="N583" s="2" t="str">
        <f t="shared" si="55"/>
        <v>Normal</v>
      </c>
      <c r="O583" s="2">
        <f t="shared" si="56"/>
        <v>0</v>
      </c>
      <c r="P583" s="2" t="str">
        <f t="shared" si="57"/>
        <v>Normal</v>
      </c>
    </row>
    <row r="584" spans="1:16" x14ac:dyDescent="0.35">
      <c r="A584">
        <v>1181.18</v>
      </c>
      <c r="B584">
        <v>7904.82</v>
      </c>
      <c r="C584">
        <v>6490</v>
      </c>
      <c r="D584">
        <v>1414.8199999999997</v>
      </c>
      <c r="E584" s="1">
        <v>41671</v>
      </c>
      <c r="F584">
        <v>2</v>
      </c>
      <c r="G584" s="2" t="s">
        <v>18</v>
      </c>
      <c r="H584">
        <v>2014</v>
      </c>
      <c r="I584">
        <v>7671.18</v>
      </c>
      <c r="J584">
        <v>0</v>
      </c>
      <c r="K584">
        <f t="shared" si="52"/>
        <v>-0.68357358971727888</v>
      </c>
      <c r="L584" t="str">
        <f t="shared" si="53"/>
        <v>Normal</v>
      </c>
      <c r="M584">
        <f t="shared" si="54"/>
        <v>0</v>
      </c>
      <c r="N584" s="2" t="str">
        <f t="shared" si="55"/>
        <v>Normal</v>
      </c>
      <c r="O584" s="2">
        <f t="shared" si="56"/>
        <v>0</v>
      </c>
      <c r="P584" s="2" t="str">
        <f t="shared" si="57"/>
        <v>Normal</v>
      </c>
    </row>
    <row r="585" spans="1:16" x14ac:dyDescent="0.35">
      <c r="A585">
        <v>942.24</v>
      </c>
      <c r="B585">
        <v>6305.76</v>
      </c>
      <c r="C585">
        <v>1812</v>
      </c>
      <c r="D585">
        <v>4493.76</v>
      </c>
      <c r="E585" s="1">
        <v>41791</v>
      </c>
      <c r="F585">
        <v>6</v>
      </c>
      <c r="G585" s="2" t="s">
        <v>11</v>
      </c>
      <c r="H585">
        <v>2014</v>
      </c>
      <c r="I585">
        <v>2754.24</v>
      </c>
      <c r="J585">
        <v>0</v>
      </c>
      <c r="K585">
        <f t="shared" si="52"/>
        <v>-0.69033330798198633</v>
      </c>
      <c r="L585" t="str">
        <f t="shared" si="53"/>
        <v>Normal</v>
      </c>
      <c r="M585">
        <f t="shared" si="54"/>
        <v>0</v>
      </c>
      <c r="N585" s="2" t="str">
        <f t="shared" si="55"/>
        <v>Normal</v>
      </c>
      <c r="O585" s="2">
        <f t="shared" si="56"/>
        <v>0</v>
      </c>
      <c r="P585" s="2" t="str">
        <f t="shared" si="57"/>
        <v>Normal</v>
      </c>
    </row>
    <row r="586" spans="1:16" x14ac:dyDescent="0.35">
      <c r="A586">
        <v>5863</v>
      </c>
      <c r="B586">
        <v>39237</v>
      </c>
      <c r="C586">
        <v>22550</v>
      </c>
      <c r="D586">
        <v>16687</v>
      </c>
      <c r="E586" s="1">
        <v>41821</v>
      </c>
      <c r="F586">
        <v>7</v>
      </c>
      <c r="G586" s="2" t="s">
        <v>14</v>
      </c>
      <c r="H586">
        <v>2014</v>
      </c>
      <c r="I586">
        <v>28413</v>
      </c>
      <c r="J586">
        <v>0</v>
      </c>
      <c r="K586">
        <f t="shared" si="52"/>
        <v>-0.55112283150989361</v>
      </c>
      <c r="L586" t="str">
        <f t="shared" si="53"/>
        <v>Normal</v>
      </c>
      <c r="M586">
        <f t="shared" si="54"/>
        <v>0</v>
      </c>
      <c r="N586" s="2" t="str">
        <f t="shared" si="55"/>
        <v>Normal</v>
      </c>
      <c r="O586" s="2">
        <f t="shared" si="56"/>
        <v>0</v>
      </c>
      <c r="P586" s="2" t="str">
        <f t="shared" si="57"/>
        <v>Normal</v>
      </c>
    </row>
    <row r="587" spans="1:16" x14ac:dyDescent="0.35">
      <c r="A587">
        <v>3247.4</v>
      </c>
      <c r="B587">
        <v>21732.6</v>
      </c>
      <c r="C587">
        <v>12490</v>
      </c>
      <c r="D587">
        <v>9242.5999999999985</v>
      </c>
      <c r="E587" s="1">
        <v>41913</v>
      </c>
      <c r="F587">
        <v>10</v>
      </c>
      <c r="G587" s="2" t="s">
        <v>17</v>
      </c>
      <c r="H587">
        <v>2014</v>
      </c>
      <c r="I587">
        <v>15737.4</v>
      </c>
      <c r="J587">
        <v>0</v>
      </c>
      <c r="K587">
        <f t="shared" si="52"/>
        <v>-0.62511931218775751</v>
      </c>
      <c r="L587" t="str">
        <f t="shared" si="53"/>
        <v>Normal</v>
      </c>
      <c r="M587">
        <f t="shared" si="54"/>
        <v>0</v>
      </c>
      <c r="N587" s="2" t="str">
        <f t="shared" si="55"/>
        <v>Normal</v>
      </c>
      <c r="O587" s="2">
        <f t="shared" si="56"/>
        <v>0</v>
      </c>
      <c r="P587" s="2" t="str">
        <f t="shared" si="57"/>
        <v>Normal</v>
      </c>
    </row>
    <row r="588" spans="1:16" x14ac:dyDescent="0.35">
      <c r="A588">
        <v>1309.0350000000001</v>
      </c>
      <c r="B588">
        <v>8760.4650000000001</v>
      </c>
      <c r="C588">
        <v>7192.5</v>
      </c>
      <c r="D588">
        <v>1567.9649999999992</v>
      </c>
      <c r="E588" s="1">
        <v>41640</v>
      </c>
      <c r="F588">
        <v>1</v>
      </c>
      <c r="G588" s="2" t="s">
        <v>10</v>
      </c>
      <c r="H588">
        <v>2014</v>
      </c>
      <c r="I588">
        <v>8501.5349999999999</v>
      </c>
      <c r="J588">
        <v>0</v>
      </c>
      <c r="K588">
        <f t="shared" si="52"/>
        <v>-0.67995651522688727</v>
      </c>
      <c r="L588" t="str">
        <f t="shared" si="53"/>
        <v>Normal</v>
      </c>
      <c r="M588">
        <f t="shared" si="54"/>
        <v>0</v>
      </c>
      <c r="N588" s="2" t="str">
        <f t="shared" si="55"/>
        <v>Normal</v>
      </c>
      <c r="O588" s="2">
        <f t="shared" si="56"/>
        <v>0</v>
      </c>
      <c r="P588" s="2" t="str">
        <f t="shared" si="57"/>
        <v>Normal</v>
      </c>
    </row>
    <row r="589" spans="1:16" x14ac:dyDescent="0.35">
      <c r="A589">
        <v>31473</v>
      </c>
      <c r="B589">
        <v>210627</v>
      </c>
      <c r="C589">
        <v>201750</v>
      </c>
      <c r="D589">
        <v>8877</v>
      </c>
      <c r="E589" s="1">
        <v>41640</v>
      </c>
      <c r="F589">
        <v>1</v>
      </c>
      <c r="G589" s="2" t="s">
        <v>10</v>
      </c>
      <c r="H589">
        <v>2014</v>
      </c>
      <c r="I589">
        <v>233223</v>
      </c>
      <c r="J589">
        <v>0</v>
      </c>
      <c r="K589">
        <f t="shared" si="52"/>
        <v>0.17339539381511612</v>
      </c>
      <c r="L589" t="str">
        <f t="shared" si="53"/>
        <v>Normal</v>
      </c>
      <c r="M589">
        <f t="shared" si="54"/>
        <v>0</v>
      </c>
      <c r="N589" s="2" t="str">
        <f t="shared" si="55"/>
        <v>Normal</v>
      </c>
      <c r="O589" s="2">
        <f t="shared" si="56"/>
        <v>0</v>
      </c>
      <c r="P589" s="2" t="str">
        <f t="shared" si="57"/>
        <v>Normal</v>
      </c>
    </row>
    <row r="590" spans="1:16" x14ac:dyDescent="0.35">
      <c r="A590">
        <v>6866.6</v>
      </c>
      <c r="B590">
        <v>45953.4</v>
      </c>
      <c r="C590">
        <v>26410</v>
      </c>
      <c r="D590">
        <v>19543.400000000001</v>
      </c>
      <c r="E590" s="1">
        <v>41671</v>
      </c>
      <c r="F590">
        <v>2</v>
      </c>
      <c r="G590" s="2" t="s">
        <v>18</v>
      </c>
      <c r="H590">
        <v>2014</v>
      </c>
      <c r="I590">
        <v>33276.6</v>
      </c>
      <c r="J590">
        <v>0</v>
      </c>
      <c r="K590">
        <f t="shared" si="52"/>
        <v>-0.52273054369512673</v>
      </c>
      <c r="L590" t="str">
        <f t="shared" si="53"/>
        <v>Normal</v>
      </c>
      <c r="M590">
        <f t="shared" si="54"/>
        <v>0</v>
      </c>
      <c r="N590" s="2" t="str">
        <f t="shared" si="55"/>
        <v>Normal</v>
      </c>
      <c r="O590" s="2">
        <f t="shared" si="56"/>
        <v>0</v>
      </c>
      <c r="P590" s="2" t="str">
        <f t="shared" si="57"/>
        <v>Normal</v>
      </c>
    </row>
    <row r="591" spans="1:16" x14ac:dyDescent="0.35">
      <c r="A591">
        <v>7040.8</v>
      </c>
      <c r="B591">
        <v>47119.199999999997</v>
      </c>
      <c r="C591">
        <v>27080</v>
      </c>
      <c r="D591">
        <v>20039.199999999997</v>
      </c>
      <c r="E591" s="1">
        <v>41671</v>
      </c>
      <c r="F591">
        <v>2</v>
      </c>
      <c r="G591" s="2" t="s">
        <v>18</v>
      </c>
      <c r="H591">
        <v>2014</v>
      </c>
      <c r="I591">
        <v>34120.800000000003</v>
      </c>
      <c r="J591">
        <v>0</v>
      </c>
      <c r="K591">
        <f t="shared" si="52"/>
        <v>-0.51780234865992103</v>
      </c>
      <c r="L591" t="str">
        <f t="shared" si="53"/>
        <v>Normal</v>
      </c>
      <c r="M591">
        <f t="shared" si="54"/>
        <v>0</v>
      </c>
      <c r="N591" s="2" t="str">
        <f t="shared" si="55"/>
        <v>Normal</v>
      </c>
      <c r="O591" s="2">
        <f t="shared" si="56"/>
        <v>0</v>
      </c>
      <c r="P591" s="2" t="str">
        <f t="shared" si="57"/>
        <v>Normal</v>
      </c>
    </row>
    <row r="592" spans="1:16" x14ac:dyDescent="0.35">
      <c r="A592">
        <v>119756</v>
      </c>
      <c r="B592">
        <v>801444</v>
      </c>
      <c r="C592">
        <v>684320</v>
      </c>
      <c r="D592">
        <v>117124</v>
      </c>
      <c r="E592" s="1">
        <v>41791</v>
      </c>
      <c r="F592">
        <v>6</v>
      </c>
      <c r="G592" s="2" t="s">
        <v>11</v>
      </c>
      <c r="H592">
        <v>2014</v>
      </c>
      <c r="I592">
        <v>804076</v>
      </c>
      <c r="J592">
        <v>0</v>
      </c>
      <c r="K592">
        <f t="shared" si="52"/>
        <v>2.6709605045674718</v>
      </c>
      <c r="L592" t="str">
        <f t="shared" si="53"/>
        <v>Normal</v>
      </c>
      <c r="M592">
        <f t="shared" si="54"/>
        <v>0</v>
      </c>
      <c r="N592" s="2" t="str">
        <f t="shared" si="55"/>
        <v>Normal</v>
      </c>
      <c r="O592" s="2">
        <f t="shared" si="56"/>
        <v>0</v>
      </c>
      <c r="P592" s="2" t="str">
        <f t="shared" si="57"/>
        <v>Normal</v>
      </c>
    </row>
    <row r="593" spans="1:16" x14ac:dyDescent="0.35">
      <c r="A593">
        <v>25723.75</v>
      </c>
      <c r="B593">
        <v>172151.25</v>
      </c>
      <c r="C593">
        <v>189960</v>
      </c>
      <c r="D593">
        <v>-17808.75</v>
      </c>
      <c r="E593" s="1">
        <v>41791</v>
      </c>
      <c r="F593">
        <v>6</v>
      </c>
      <c r="G593" s="2" t="s">
        <v>11</v>
      </c>
      <c r="H593">
        <v>2014</v>
      </c>
      <c r="I593">
        <v>215683.75</v>
      </c>
      <c r="J593">
        <v>0</v>
      </c>
      <c r="K593">
        <f t="shared" si="52"/>
        <v>1.0746568865884872E-2</v>
      </c>
      <c r="L593" t="str">
        <f t="shared" si="53"/>
        <v>Normal</v>
      </c>
      <c r="M593">
        <f t="shared" si="54"/>
        <v>0</v>
      </c>
      <c r="N593" s="2" t="str">
        <f t="shared" si="55"/>
        <v>Normal</v>
      </c>
      <c r="O593" s="2">
        <f t="shared" si="56"/>
        <v>0</v>
      </c>
      <c r="P593" s="2" t="str">
        <f t="shared" si="57"/>
        <v>Normal</v>
      </c>
    </row>
    <row r="594" spans="1:16" x14ac:dyDescent="0.35">
      <c r="A594">
        <v>890.76</v>
      </c>
      <c r="B594">
        <v>5961.24</v>
      </c>
      <c r="C594">
        <v>1713</v>
      </c>
      <c r="D594">
        <v>4248.24</v>
      </c>
      <c r="E594" s="1">
        <v>41821</v>
      </c>
      <c r="F594">
        <v>7</v>
      </c>
      <c r="G594" s="2" t="s">
        <v>14</v>
      </c>
      <c r="H594">
        <v>2014</v>
      </c>
      <c r="I594">
        <v>2603.7600000000002</v>
      </c>
      <c r="J594">
        <v>0</v>
      </c>
      <c r="K594">
        <f t="shared" si="52"/>
        <v>-0.6917896999476143</v>
      </c>
      <c r="L594" t="str">
        <f t="shared" si="53"/>
        <v>Normal</v>
      </c>
      <c r="M594">
        <f t="shared" si="54"/>
        <v>0</v>
      </c>
      <c r="N594" s="2" t="str">
        <f t="shared" si="55"/>
        <v>Normal</v>
      </c>
      <c r="O594" s="2">
        <f t="shared" si="56"/>
        <v>0</v>
      </c>
      <c r="P594" s="2" t="str">
        <f t="shared" si="57"/>
        <v>Normal</v>
      </c>
    </row>
    <row r="595" spans="1:16" x14ac:dyDescent="0.35">
      <c r="A595">
        <v>2453.36</v>
      </c>
      <c r="B595">
        <v>16418.64</v>
      </c>
      <c r="C595">
        <v>13480</v>
      </c>
      <c r="D595">
        <v>2938.6399999999994</v>
      </c>
      <c r="E595" s="1">
        <v>41852</v>
      </c>
      <c r="F595">
        <v>8</v>
      </c>
      <c r="G595" s="2" t="s">
        <v>15</v>
      </c>
      <c r="H595">
        <v>2014</v>
      </c>
      <c r="I595">
        <v>15933.36</v>
      </c>
      <c r="J595">
        <v>0</v>
      </c>
      <c r="K595">
        <f t="shared" si="52"/>
        <v>-0.64758305493032187</v>
      </c>
      <c r="L595" t="str">
        <f t="shared" si="53"/>
        <v>Normal</v>
      </c>
      <c r="M595">
        <f t="shared" si="54"/>
        <v>0</v>
      </c>
      <c r="N595" s="2" t="str">
        <f t="shared" si="55"/>
        <v>Normal</v>
      </c>
      <c r="O595" s="2">
        <f t="shared" si="56"/>
        <v>0</v>
      </c>
      <c r="P595" s="2" t="str">
        <f t="shared" si="57"/>
        <v>Normal</v>
      </c>
    </row>
    <row r="596" spans="1:16" x14ac:dyDescent="0.35">
      <c r="A596">
        <v>3051.75</v>
      </c>
      <c r="B596">
        <v>20423.25</v>
      </c>
      <c r="C596">
        <v>15650</v>
      </c>
      <c r="D596">
        <v>4773.25</v>
      </c>
      <c r="E596" s="1">
        <v>41913</v>
      </c>
      <c r="F596">
        <v>10</v>
      </c>
      <c r="G596" s="2" t="s">
        <v>17</v>
      </c>
      <c r="H596">
        <v>2014</v>
      </c>
      <c r="I596">
        <v>18701.75</v>
      </c>
      <c r="J596">
        <v>0</v>
      </c>
      <c r="K596">
        <f t="shared" si="52"/>
        <v>-0.6306543372086415</v>
      </c>
      <c r="L596" t="str">
        <f t="shared" si="53"/>
        <v>Normal</v>
      </c>
      <c r="M596">
        <f t="shared" si="54"/>
        <v>0</v>
      </c>
      <c r="N596" s="2" t="str">
        <f t="shared" si="55"/>
        <v>Normal</v>
      </c>
      <c r="O596" s="2">
        <f t="shared" si="56"/>
        <v>0</v>
      </c>
      <c r="P596" s="2" t="str">
        <f t="shared" si="57"/>
        <v>Normal</v>
      </c>
    </row>
    <row r="597" spans="1:16" x14ac:dyDescent="0.35">
      <c r="A597">
        <v>3247.4</v>
      </c>
      <c r="B597">
        <v>21732.6</v>
      </c>
      <c r="C597">
        <v>12490</v>
      </c>
      <c r="D597">
        <v>9242.5999999999985</v>
      </c>
      <c r="E597" s="1">
        <v>41913</v>
      </c>
      <c r="F597">
        <v>10</v>
      </c>
      <c r="G597" s="2" t="s">
        <v>17</v>
      </c>
      <c r="H597">
        <v>2014</v>
      </c>
      <c r="I597">
        <v>15737.4</v>
      </c>
      <c r="J597">
        <v>0</v>
      </c>
      <c r="K597">
        <f t="shared" si="52"/>
        <v>-0.62511931218775751</v>
      </c>
      <c r="L597" t="str">
        <f t="shared" si="53"/>
        <v>Normal</v>
      </c>
      <c r="M597">
        <f t="shared" si="54"/>
        <v>0</v>
      </c>
      <c r="N597" s="2" t="str">
        <f t="shared" si="55"/>
        <v>Normal</v>
      </c>
      <c r="O597" s="2">
        <f t="shared" si="56"/>
        <v>0</v>
      </c>
      <c r="P597" s="2" t="str">
        <f t="shared" si="57"/>
        <v>Normal</v>
      </c>
    </row>
    <row r="598" spans="1:16" x14ac:dyDescent="0.35">
      <c r="A598">
        <v>16243.5</v>
      </c>
      <c r="B598">
        <v>108706.5</v>
      </c>
      <c r="C598">
        <v>92820</v>
      </c>
      <c r="D598">
        <v>15886.5</v>
      </c>
      <c r="E598" s="1">
        <v>41944</v>
      </c>
      <c r="F598">
        <v>11</v>
      </c>
      <c r="G598" s="2" t="s">
        <v>19</v>
      </c>
      <c r="H598">
        <v>2014</v>
      </c>
      <c r="I598">
        <v>109063.5</v>
      </c>
      <c r="J598">
        <v>0</v>
      </c>
      <c r="K598">
        <f t="shared" si="52"/>
        <v>-0.25745389601648228</v>
      </c>
      <c r="L598" t="str">
        <f t="shared" si="53"/>
        <v>Normal</v>
      </c>
      <c r="M598">
        <f t="shared" si="54"/>
        <v>0</v>
      </c>
      <c r="N598" s="2" t="str">
        <f t="shared" si="55"/>
        <v>Normal</v>
      </c>
      <c r="O598" s="2">
        <f t="shared" si="56"/>
        <v>0</v>
      </c>
      <c r="P598" s="2" t="str">
        <f t="shared" si="57"/>
        <v>Normal</v>
      </c>
    </row>
    <row r="599" spans="1:16" x14ac:dyDescent="0.35">
      <c r="A599">
        <v>1580.28</v>
      </c>
      <c r="B599">
        <v>10575.72</v>
      </c>
      <c r="C599">
        <v>3039</v>
      </c>
      <c r="D599">
        <v>7536.7199999999993</v>
      </c>
      <c r="E599" s="1">
        <v>41974</v>
      </c>
      <c r="F599">
        <v>12</v>
      </c>
      <c r="G599" s="2" t="s">
        <v>12</v>
      </c>
      <c r="H599">
        <v>2014</v>
      </c>
      <c r="I599">
        <v>4619.28</v>
      </c>
      <c r="J599">
        <v>0</v>
      </c>
      <c r="K599">
        <f t="shared" si="52"/>
        <v>-0.67228287422617339</v>
      </c>
      <c r="L599" t="str">
        <f t="shared" si="53"/>
        <v>Normal</v>
      </c>
      <c r="M599">
        <f t="shared" si="54"/>
        <v>0</v>
      </c>
      <c r="N599" s="2" t="str">
        <f t="shared" si="55"/>
        <v>Normal</v>
      </c>
      <c r="O599" s="2">
        <f t="shared" si="56"/>
        <v>0</v>
      </c>
      <c r="P599" s="2" t="str">
        <f t="shared" si="57"/>
        <v>Normal</v>
      </c>
    </row>
    <row r="600" spans="1:16" x14ac:dyDescent="0.35">
      <c r="A600">
        <v>7795.125</v>
      </c>
      <c r="B600">
        <v>52167.375</v>
      </c>
      <c r="C600">
        <v>39975</v>
      </c>
      <c r="D600">
        <v>12192.375</v>
      </c>
      <c r="E600" s="1">
        <v>41640</v>
      </c>
      <c r="F600">
        <v>1</v>
      </c>
      <c r="G600" s="2" t="s">
        <v>10</v>
      </c>
      <c r="H600">
        <v>2014</v>
      </c>
      <c r="I600">
        <v>47770.125</v>
      </c>
      <c r="J600">
        <v>0</v>
      </c>
      <c r="K600">
        <f t="shared" si="52"/>
        <v>-0.49646216083023392</v>
      </c>
      <c r="L600" t="str">
        <f t="shared" si="53"/>
        <v>Normal</v>
      </c>
      <c r="M600">
        <f t="shared" si="54"/>
        <v>0</v>
      </c>
      <c r="N600" s="2" t="str">
        <f t="shared" si="55"/>
        <v>Normal</v>
      </c>
      <c r="O600" s="2">
        <f t="shared" si="56"/>
        <v>0</v>
      </c>
      <c r="P600" s="2" t="str">
        <f t="shared" si="57"/>
        <v>Normal</v>
      </c>
    </row>
    <row r="601" spans="1:16" x14ac:dyDescent="0.35">
      <c r="A601">
        <v>119756</v>
      </c>
      <c r="B601">
        <v>801444</v>
      </c>
      <c r="C601">
        <v>684320</v>
      </c>
      <c r="D601">
        <v>117124</v>
      </c>
      <c r="E601" s="1">
        <v>41791</v>
      </c>
      <c r="F601">
        <v>6</v>
      </c>
      <c r="G601" s="2" t="s">
        <v>11</v>
      </c>
      <c r="H601">
        <v>2014</v>
      </c>
      <c r="I601">
        <v>804076</v>
      </c>
      <c r="J601">
        <v>0</v>
      </c>
      <c r="K601">
        <f t="shared" si="52"/>
        <v>2.6709605045674718</v>
      </c>
      <c r="L601" t="str">
        <f t="shared" si="53"/>
        <v>Normal</v>
      </c>
      <c r="M601">
        <f t="shared" si="54"/>
        <v>0</v>
      </c>
      <c r="N601" s="2" t="str">
        <f t="shared" si="55"/>
        <v>Normal</v>
      </c>
      <c r="O601" s="2">
        <f t="shared" si="56"/>
        <v>0</v>
      </c>
      <c r="P601" s="2" t="str">
        <f t="shared" si="57"/>
        <v>Normal</v>
      </c>
    </row>
    <row r="602" spans="1:16" x14ac:dyDescent="0.35">
      <c r="A602">
        <v>1082.9000000000001</v>
      </c>
      <c r="B602">
        <v>7247.1</v>
      </c>
      <c r="C602">
        <v>5950</v>
      </c>
      <c r="D602">
        <v>1297.1000000000004</v>
      </c>
      <c r="E602" s="1">
        <v>41791</v>
      </c>
      <c r="F602">
        <v>6</v>
      </c>
      <c r="G602" s="2" t="s">
        <v>11</v>
      </c>
      <c r="H602">
        <v>2014</v>
      </c>
      <c r="I602">
        <v>7032.9</v>
      </c>
      <c r="J602">
        <v>0</v>
      </c>
      <c r="K602">
        <f t="shared" si="52"/>
        <v>-0.6863539743789322</v>
      </c>
      <c r="L602" t="str">
        <f t="shared" si="53"/>
        <v>Normal</v>
      </c>
      <c r="M602">
        <f t="shared" si="54"/>
        <v>0</v>
      </c>
      <c r="N602" s="2" t="str">
        <f t="shared" si="55"/>
        <v>Normal</v>
      </c>
      <c r="O602" s="2">
        <f t="shared" si="56"/>
        <v>0</v>
      </c>
      <c r="P602" s="2" t="str">
        <f t="shared" si="57"/>
        <v>Normal</v>
      </c>
    </row>
    <row r="603" spans="1:16" x14ac:dyDescent="0.35">
      <c r="A603">
        <v>942.24</v>
      </c>
      <c r="B603">
        <v>6305.76</v>
      </c>
      <c r="C603">
        <v>1812</v>
      </c>
      <c r="D603">
        <v>4493.76</v>
      </c>
      <c r="E603" s="1">
        <v>41791</v>
      </c>
      <c r="F603">
        <v>6</v>
      </c>
      <c r="G603" s="2" t="s">
        <v>11</v>
      </c>
      <c r="H603">
        <v>2014</v>
      </c>
      <c r="I603">
        <v>2754.24</v>
      </c>
      <c r="J603">
        <v>0</v>
      </c>
      <c r="K603">
        <f t="shared" si="52"/>
        <v>-0.69033330798198633</v>
      </c>
      <c r="L603" t="str">
        <f t="shared" si="53"/>
        <v>Normal</v>
      </c>
      <c r="M603">
        <f t="shared" si="54"/>
        <v>0</v>
      </c>
      <c r="N603" s="2" t="str">
        <f t="shared" si="55"/>
        <v>Normal</v>
      </c>
      <c r="O603" s="2">
        <f t="shared" si="56"/>
        <v>0</v>
      </c>
      <c r="P603" s="2" t="str">
        <f t="shared" si="57"/>
        <v>Normal</v>
      </c>
    </row>
    <row r="604" spans="1:16" x14ac:dyDescent="0.35">
      <c r="A604">
        <v>1287</v>
      </c>
      <c r="B604">
        <v>8613</v>
      </c>
      <c r="C604">
        <v>6600</v>
      </c>
      <c r="D604">
        <v>2013</v>
      </c>
      <c r="E604" s="1">
        <v>41518</v>
      </c>
      <c r="F604">
        <v>9</v>
      </c>
      <c r="G604" s="2" t="s">
        <v>16</v>
      </c>
      <c r="H604">
        <v>2013</v>
      </c>
      <c r="I604">
        <v>7887</v>
      </c>
      <c r="J604">
        <v>0</v>
      </c>
      <c r="K604">
        <f t="shared" si="52"/>
        <v>-0.68057989512126593</v>
      </c>
      <c r="L604" t="str">
        <f t="shared" si="53"/>
        <v>Normal</v>
      </c>
      <c r="M604">
        <f t="shared" si="54"/>
        <v>0</v>
      </c>
      <c r="N604" s="2" t="str">
        <f t="shared" si="55"/>
        <v>Normal</v>
      </c>
      <c r="O604" s="2">
        <f t="shared" si="56"/>
        <v>0</v>
      </c>
      <c r="P604" s="2" t="str">
        <f t="shared" si="57"/>
        <v>Normal</v>
      </c>
    </row>
    <row r="605" spans="1:16" x14ac:dyDescent="0.35">
      <c r="A605">
        <v>639.6</v>
      </c>
      <c r="B605">
        <v>4280.3999999999996</v>
      </c>
      <c r="C605">
        <v>1230</v>
      </c>
      <c r="D605">
        <v>3050.3999999999996</v>
      </c>
      <c r="E605" s="1">
        <v>41913</v>
      </c>
      <c r="F605">
        <v>10</v>
      </c>
      <c r="G605" s="2" t="s">
        <v>17</v>
      </c>
      <c r="H605">
        <v>2014</v>
      </c>
      <c r="I605">
        <v>1869.6</v>
      </c>
      <c r="J605">
        <v>0</v>
      </c>
      <c r="K605">
        <f t="shared" si="52"/>
        <v>-0.6988951274162839</v>
      </c>
      <c r="L605" t="str">
        <f t="shared" si="53"/>
        <v>Normal</v>
      </c>
      <c r="M605">
        <f t="shared" si="54"/>
        <v>0</v>
      </c>
      <c r="N605" s="2" t="str">
        <f t="shared" si="55"/>
        <v>Normal</v>
      </c>
      <c r="O605" s="2">
        <f t="shared" si="56"/>
        <v>0</v>
      </c>
      <c r="P605" s="2" t="str">
        <f t="shared" si="57"/>
        <v>Normal</v>
      </c>
    </row>
    <row r="606" spans="1:16" x14ac:dyDescent="0.35">
      <c r="A606">
        <v>101595</v>
      </c>
      <c r="B606">
        <v>679905</v>
      </c>
      <c r="C606">
        <v>651250</v>
      </c>
      <c r="D606">
        <v>28655</v>
      </c>
      <c r="E606" s="1">
        <v>41579</v>
      </c>
      <c r="F606">
        <v>11</v>
      </c>
      <c r="G606" s="2" t="s">
        <v>19</v>
      </c>
      <c r="H606">
        <v>2013</v>
      </c>
      <c r="I606">
        <v>752845</v>
      </c>
      <c r="J606">
        <v>0</v>
      </c>
      <c r="K606">
        <f t="shared" si="52"/>
        <v>2.1571777833598382</v>
      </c>
      <c r="L606" t="str">
        <f t="shared" si="53"/>
        <v>Normal</v>
      </c>
      <c r="M606">
        <f t="shared" si="54"/>
        <v>0</v>
      </c>
      <c r="N606" s="2" t="str">
        <f t="shared" si="55"/>
        <v>Normal</v>
      </c>
      <c r="O606" s="2">
        <f t="shared" si="56"/>
        <v>0</v>
      </c>
      <c r="P606" s="2" t="str">
        <f t="shared" si="57"/>
        <v>Normal</v>
      </c>
    </row>
    <row r="607" spans="1:16" x14ac:dyDescent="0.35">
      <c r="A607">
        <v>1580.28</v>
      </c>
      <c r="B607">
        <v>10575.72</v>
      </c>
      <c r="C607">
        <v>3039</v>
      </c>
      <c r="D607">
        <v>7536.7199999999993</v>
      </c>
      <c r="E607" s="1">
        <v>41974</v>
      </c>
      <c r="F607">
        <v>12</v>
      </c>
      <c r="G607" s="2" t="s">
        <v>12</v>
      </c>
      <c r="H607">
        <v>2014</v>
      </c>
      <c r="I607">
        <v>4619.28</v>
      </c>
      <c r="J607">
        <v>0</v>
      </c>
      <c r="K607">
        <f t="shared" si="52"/>
        <v>-0.67228287422617339</v>
      </c>
      <c r="L607" t="str">
        <f t="shared" si="53"/>
        <v>Normal</v>
      </c>
      <c r="M607">
        <f t="shared" si="54"/>
        <v>0</v>
      </c>
      <c r="N607" s="2" t="str">
        <f t="shared" si="55"/>
        <v>Normal</v>
      </c>
      <c r="O607" s="2">
        <f t="shared" si="56"/>
        <v>0</v>
      </c>
      <c r="P607" s="2" t="str">
        <f t="shared" si="57"/>
        <v>Normal</v>
      </c>
    </row>
    <row r="608" spans="1:16" x14ac:dyDescent="0.35">
      <c r="A608">
        <v>25723.75</v>
      </c>
      <c r="B608">
        <v>172151.25</v>
      </c>
      <c r="C608">
        <v>189960</v>
      </c>
      <c r="D608">
        <v>-17808.75</v>
      </c>
      <c r="E608" s="1">
        <v>41791</v>
      </c>
      <c r="F608">
        <v>6</v>
      </c>
      <c r="G608" s="2" t="s">
        <v>11</v>
      </c>
      <c r="H608">
        <v>2014</v>
      </c>
      <c r="I608">
        <v>215683.75</v>
      </c>
      <c r="J608">
        <v>0</v>
      </c>
      <c r="K608">
        <f t="shared" si="52"/>
        <v>1.0746568865884872E-2</v>
      </c>
      <c r="L608" t="str">
        <f t="shared" si="53"/>
        <v>Normal</v>
      </c>
      <c r="M608">
        <f t="shared" si="54"/>
        <v>0</v>
      </c>
      <c r="N608" s="2" t="str">
        <f t="shared" si="55"/>
        <v>Normal</v>
      </c>
      <c r="O608" s="2">
        <f t="shared" si="56"/>
        <v>0</v>
      </c>
      <c r="P608" s="2" t="str">
        <f t="shared" si="57"/>
        <v>Normal</v>
      </c>
    </row>
    <row r="609" spans="1:16" x14ac:dyDescent="0.35">
      <c r="A609">
        <v>3051.75</v>
      </c>
      <c r="B609">
        <v>20423.25</v>
      </c>
      <c r="C609">
        <v>15650</v>
      </c>
      <c r="D609">
        <v>4773.25</v>
      </c>
      <c r="E609" s="1">
        <v>41913</v>
      </c>
      <c r="F609">
        <v>10</v>
      </c>
      <c r="G609" s="2" t="s">
        <v>17</v>
      </c>
      <c r="H609">
        <v>2014</v>
      </c>
      <c r="I609">
        <v>18701.75</v>
      </c>
      <c r="J609">
        <v>0</v>
      </c>
      <c r="K609">
        <f t="shared" si="52"/>
        <v>-0.6306543372086415</v>
      </c>
      <c r="L609" t="str">
        <f t="shared" si="53"/>
        <v>Normal</v>
      </c>
      <c r="M609">
        <f t="shared" si="54"/>
        <v>0</v>
      </c>
      <c r="N609" s="2" t="str">
        <f t="shared" si="55"/>
        <v>Normal</v>
      </c>
      <c r="O609" s="2">
        <f t="shared" si="56"/>
        <v>0</v>
      </c>
      <c r="P609" s="2" t="str">
        <f t="shared" si="57"/>
        <v>Normal</v>
      </c>
    </row>
    <row r="610" spans="1:16" x14ac:dyDescent="0.35">
      <c r="A610">
        <v>26958.75</v>
      </c>
      <c r="B610">
        <v>180416.25</v>
      </c>
      <c r="C610">
        <v>199080</v>
      </c>
      <c r="D610">
        <v>-18663.75</v>
      </c>
      <c r="E610" s="1">
        <v>41640</v>
      </c>
      <c r="F610">
        <v>1</v>
      </c>
      <c r="G610" s="2" t="s">
        <v>10</v>
      </c>
      <c r="H610">
        <v>2014</v>
      </c>
      <c r="I610">
        <v>226038.75</v>
      </c>
      <c r="J610">
        <v>0</v>
      </c>
      <c r="K610">
        <f t="shared" si="52"/>
        <v>4.5685265010999551E-2</v>
      </c>
      <c r="L610" t="str">
        <f t="shared" si="53"/>
        <v>Normal</v>
      </c>
      <c r="M610">
        <f t="shared" si="54"/>
        <v>0</v>
      </c>
      <c r="N610" s="2" t="str">
        <f t="shared" si="55"/>
        <v>Normal</v>
      </c>
      <c r="O610" s="2">
        <f t="shared" si="56"/>
        <v>0</v>
      </c>
      <c r="P610" s="2" t="str">
        <f t="shared" si="57"/>
        <v>Normal</v>
      </c>
    </row>
    <row r="611" spans="1:16" x14ac:dyDescent="0.35">
      <c r="A611">
        <v>1082.9000000000001</v>
      </c>
      <c r="B611">
        <v>7247.1</v>
      </c>
      <c r="C611">
        <v>5950</v>
      </c>
      <c r="D611">
        <v>1297.1000000000004</v>
      </c>
      <c r="E611" s="1">
        <v>41791</v>
      </c>
      <c r="F611">
        <v>6</v>
      </c>
      <c r="G611" s="2" t="s">
        <v>11</v>
      </c>
      <c r="H611">
        <v>2014</v>
      </c>
      <c r="I611">
        <v>7032.9</v>
      </c>
      <c r="J611">
        <v>0</v>
      </c>
      <c r="K611">
        <f t="shared" si="52"/>
        <v>-0.6863539743789322</v>
      </c>
      <c r="L611" t="str">
        <f t="shared" si="53"/>
        <v>Normal</v>
      </c>
      <c r="M611">
        <f t="shared" si="54"/>
        <v>0</v>
      </c>
      <c r="N611" s="2" t="str">
        <f t="shared" si="55"/>
        <v>Normal</v>
      </c>
      <c r="O611" s="2">
        <f t="shared" si="56"/>
        <v>0</v>
      </c>
      <c r="P611" s="2" t="str">
        <f t="shared" si="57"/>
        <v>Normal</v>
      </c>
    </row>
    <row r="612" spans="1:16" x14ac:dyDescent="0.35">
      <c r="A612">
        <v>639.6</v>
      </c>
      <c r="B612">
        <v>4280.3999999999996</v>
      </c>
      <c r="C612">
        <v>1230</v>
      </c>
      <c r="D612">
        <v>3050.3999999999996</v>
      </c>
      <c r="E612" s="1">
        <v>41913</v>
      </c>
      <c r="F612">
        <v>10</v>
      </c>
      <c r="G612" s="2" t="s">
        <v>17</v>
      </c>
      <c r="H612">
        <v>2014</v>
      </c>
      <c r="I612">
        <v>1869.6</v>
      </c>
      <c r="J612">
        <v>0</v>
      </c>
      <c r="K612">
        <f t="shared" si="52"/>
        <v>-0.6988951274162839</v>
      </c>
      <c r="L612" t="str">
        <f t="shared" si="53"/>
        <v>Normal</v>
      </c>
      <c r="M612">
        <f t="shared" si="54"/>
        <v>0</v>
      </c>
      <c r="N612" s="2" t="str">
        <f t="shared" si="55"/>
        <v>Normal</v>
      </c>
      <c r="O612" s="2">
        <f t="shared" si="56"/>
        <v>0</v>
      </c>
      <c r="P612" s="2" t="str">
        <f t="shared" si="57"/>
        <v>Normal</v>
      </c>
    </row>
    <row r="613" spans="1:16" x14ac:dyDescent="0.35">
      <c r="A613">
        <v>2761.2</v>
      </c>
      <c r="B613">
        <v>18478.8</v>
      </c>
      <c r="C613">
        <v>5310</v>
      </c>
      <c r="D613">
        <v>13168.8</v>
      </c>
      <c r="E613" s="1">
        <v>41609</v>
      </c>
      <c r="F613">
        <v>12</v>
      </c>
      <c r="G613" s="2" t="s">
        <v>12</v>
      </c>
      <c r="H613">
        <v>2013</v>
      </c>
      <c r="I613">
        <v>8071.2</v>
      </c>
      <c r="J613">
        <v>0</v>
      </c>
      <c r="K613">
        <f t="shared" si="52"/>
        <v>-0.63887412519646591</v>
      </c>
      <c r="L613" t="str">
        <f t="shared" si="53"/>
        <v>Normal</v>
      </c>
      <c r="M613">
        <f t="shared" si="54"/>
        <v>0</v>
      </c>
      <c r="N613" s="2" t="str">
        <f t="shared" si="55"/>
        <v>Normal</v>
      </c>
      <c r="O613" s="2">
        <f t="shared" si="56"/>
        <v>0</v>
      </c>
      <c r="P613" s="2" t="str">
        <f t="shared" si="57"/>
        <v>Normal</v>
      </c>
    </row>
    <row r="614" spans="1:16" x14ac:dyDescent="0.35">
      <c r="A614">
        <v>7221.2</v>
      </c>
      <c r="B614">
        <v>44358.8</v>
      </c>
      <c r="C614">
        <v>25790</v>
      </c>
      <c r="D614">
        <v>18568.800000000003</v>
      </c>
      <c r="E614" s="1">
        <v>41730</v>
      </c>
      <c r="F614">
        <v>4</v>
      </c>
      <c r="G614" s="2" t="s">
        <v>20</v>
      </c>
      <c r="H614">
        <v>2014</v>
      </c>
      <c r="I614">
        <v>33011.199999999997</v>
      </c>
      <c r="J614">
        <v>0</v>
      </c>
      <c r="K614">
        <f t="shared" si="52"/>
        <v>-0.52947140816856897</v>
      </c>
      <c r="L614" t="str">
        <f t="shared" si="53"/>
        <v>Normal</v>
      </c>
      <c r="M614">
        <f t="shared" si="54"/>
        <v>0</v>
      </c>
      <c r="N614" s="2" t="str">
        <f t="shared" si="55"/>
        <v>Normal</v>
      </c>
      <c r="O614" s="2">
        <f t="shared" si="56"/>
        <v>0</v>
      </c>
      <c r="P614" s="2" t="str">
        <f t="shared" si="57"/>
        <v>Normal</v>
      </c>
    </row>
    <row r="615" spans="1:16" x14ac:dyDescent="0.35">
      <c r="A615">
        <v>4880.3999999999996</v>
      </c>
      <c r="B615">
        <v>29979.599999999999</v>
      </c>
      <c r="C615">
        <v>17430</v>
      </c>
      <c r="D615">
        <v>12549.599999999999</v>
      </c>
      <c r="E615" s="1">
        <v>41760</v>
      </c>
      <c r="F615">
        <v>5</v>
      </c>
      <c r="G615" s="2" t="s">
        <v>21</v>
      </c>
      <c r="H615">
        <v>2014</v>
      </c>
      <c r="I615">
        <v>22310.400000000001</v>
      </c>
      <c r="J615">
        <v>0</v>
      </c>
      <c r="K615">
        <f t="shared" si="52"/>
        <v>-0.59025670757689719</v>
      </c>
      <c r="L615" t="str">
        <f t="shared" si="53"/>
        <v>Normal</v>
      </c>
      <c r="M615">
        <f t="shared" si="54"/>
        <v>0</v>
      </c>
      <c r="N615" s="2" t="str">
        <f t="shared" si="55"/>
        <v>Normal</v>
      </c>
      <c r="O615" s="2">
        <f t="shared" si="56"/>
        <v>0</v>
      </c>
      <c r="P615" s="2" t="str">
        <f t="shared" si="57"/>
        <v>Normal</v>
      </c>
    </row>
    <row r="616" spans="1:16" x14ac:dyDescent="0.35">
      <c r="A616">
        <v>2936.08</v>
      </c>
      <c r="B616">
        <v>18035.919999999998</v>
      </c>
      <c r="C616">
        <v>14980</v>
      </c>
      <c r="D616">
        <v>3055.9199999999983</v>
      </c>
      <c r="E616" s="1">
        <v>41548</v>
      </c>
      <c r="F616">
        <v>10</v>
      </c>
      <c r="G616" s="2" t="s">
        <v>17</v>
      </c>
      <c r="H616">
        <v>2013</v>
      </c>
      <c r="I616">
        <v>17916.080000000002</v>
      </c>
      <c r="J616">
        <v>0</v>
      </c>
      <c r="K616">
        <f t="shared" si="52"/>
        <v>-0.64074631512371905</v>
      </c>
      <c r="L616" t="str">
        <f t="shared" si="53"/>
        <v>Normal</v>
      </c>
      <c r="M616">
        <f t="shared" si="54"/>
        <v>0</v>
      </c>
      <c r="N616" s="2" t="str">
        <f t="shared" si="55"/>
        <v>Normal</v>
      </c>
      <c r="O616" s="2">
        <f t="shared" si="56"/>
        <v>0</v>
      </c>
      <c r="P616" s="2" t="str">
        <f t="shared" si="57"/>
        <v>Normal</v>
      </c>
    </row>
    <row r="617" spans="1:16" x14ac:dyDescent="0.35">
      <c r="A617">
        <v>274.39999999999998</v>
      </c>
      <c r="B617">
        <v>1685.6</v>
      </c>
      <c r="C617">
        <v>1400</v>
      </c>
      <c r="D617">
        <v>285.59999999999991</v>
      </c>
      <c r="E617" s="1">
        <v>41974</v>
      </c>
      <c r="F617">
        <v>12</v>
      </c>
      <c r="G617" s="2" t="s">
        <v>12</v>
      </c>
      <c r="H617">
        <v>2014</v>
      </c>
      <c r="I617">
        <v>1674.4</v>
      </c>
      <c r="J617">
        <v>0</v>
      </c>
      <c r="K617">
        <f t="shared" si="52"/>
        <v>-0.70986414480979187</v>
      </c>
      <c r="L617" t="str">
        <f t="shared" si="53"/>
        <v>Normal</v>
      </c>
      <c r="M617">
        <f t="shared" si="54"/>
        <v>0</v>
      </c>
      <c r="N617" s="2" t="str">
        <f t="shared" si="55"/>
        <v>Normal</v>
      </c>
      <c r="O617" s="2">
        <f t="shared" si="56"/>
        <v>0</v>
      </c>
      <c r="P617" s="2" t="str">
        <f t="shared" si="57"/>
        <v>Normal</v>
      </c>
    </row>
    <row r="618" spans="1:16" x14ac:dyDescent="0.35">
      <c r="A618">
        <v>287.14</v>
      </c>
      <c r="B618">
        <v>1763.8600000000001</v>
      </c>
      <c r="C618">
        <v>1465</v>
      </c>
      <c r="D618">
        <v>298.86000000000013</v>
      </c>
      <c r="E618" s="1">
        <v>41671</v>
      </c>
      <c r="F618">
        <v>2</v>
      </c>
      <c r="G618" s="2" t="s">
        <v>18</v>
      </c>
      <c r="H618">
        <v>2014</v>
      </c>
      <c r="I618">
        <v>1752.1399999999999</v>
      </c>
      <c r="J618">
        <v>0</v>
      </c>
      <c r="K618">
        <f t="shared" si="52"/>
        <v>-0.70953331572808398</v>
      </c>
      <c r="L618" t="str">
        <f t="shared" si="53"/>
        <v>Normal</v>
      </c>
      <c r="M618">
        <f t="shared" si="54"/>
        <v>0</v>
      </c>
      <c r="N618" s="2" t="str">
        <f t="shared" si="55"/>
        <v>Normal</v>
      </c>
      <c r="O618" s="2">
        <f t="shared" si="56"/>
        <v>0</v>
      </c>
      <c r="P618" s="2" t="str">
        <f t="shared" si="57"/>
        <v>Normal</v>
      </c>
    </row>
    <row r="619" spans="1:16" x14ac:dyDescent="0.35">
      <c r="A619">
        <v>2936.08</v>
      </c>
      <c r="B619">
        <v>18035.919999999998</v>
      </c>
      <c r="C619">
        <v>14980</v>
      </c>
      <c r="D619">
        <v>3055.9199999999983</v>
      </c>
      <c r="E619" s="1">
        <v>41548</v>
      </c>
      <c r="F619">
        <v>10</v>
      </c>
      <c r="G619" s="2" t="s">
        <v>17</v>
      </c>
      <c r="H619">
        <v>2013</v>
      </c>
      <c r="I619">
        <v>17916.080000000002</v>
      </c>
      <c r="J619">
        <v>0</v>
      </c>
      <c r="K619">
        <f t="shared" si="52"/>
        <v>-0.64074631512371905</v>
      </c>
      <c r="L619" t="str">
        <f t="shared" si="53"/>
        <v>Normal</v>
      </c>
      <c r="M619">
        <f t="shared" si="54"/>
        <v>0</v>
      </c>
      <c r="N619" s="2" t="str">
        <f t="shared" si="55"/>
        <v>Normal</v>
      </c>
      <c r="O619" s="2">
        <f t="shared" si="56"/>
        <v>0</v>
      </c>
      <c r="P619" s="2" t="str">
        <f t="shared" si="57"/>
        <v>Normal</v>
      </c>
    </row>
    <row r="620" spans="1:16" x14ac:dyDescent="0.35">
      <c r="A620">
        <v>583.79999999999995</v>
      </c>
      <c r="B620">
        <v>3586.2</v>
      </c>
      <c r="C620">
        <v>2780</v>
      </c>
      <c r="D620">
        <v>806.19999999999982</v>
      </c>
      <c r="E620" s="1">
        <v>41671</v>
      </c>
      <c r="F620">
        <v>2</v>
      </c>
      <c r="G620" s="2" t="s">
        <v>18</v>
      </c>
      <c r="H620">
        <v>2014</v>
      </c>
      <c r="I620">
        <v>3363.8</v>
      </c>
      <c r="J620">
        <v>0</v>
      </c>
      <c r="K620">
        <f t="shared" si="52"/>
        <v>-0.70182972425402601</v>
      </c>
      <c r="L620" t="str">
        <f t="shared" si="53"/>
        <v>Normal</v>
      </c>
      <c r="M620">
        <f t="shared" si="54"/>
        <v>0</v>
      </c>
      <c r="N620" s="2" t="str">
        <f t="shared" si="55"/>
        <v>Normal</v>
      </c>
      <c r="O620" s="2">
        <f t="shared" si="56"/>
        <v>0</v>
      </c>
      <c r="P620" s="2" t="str">
        <f t="shared" si="57"/>
        <v>Normal</v>
      </c>
    </row>
    <row r="621" spans="1:16" x14ac:dyDescent="0.35">
      <c r="A621">
        <v>6798.4</v>
      </c>
      <c r="B621">
        <v>41761.599999999999</v>
      </c>
      <c r="C621">
        <v>24280</v>
      </c>
      <c r="D621">
        <v>17481.599999999999</v>
      </c>
      <c r="E621" s="1">
        <v>41699</v>
      </c>
      <c r="F621">
        <v>3</v>
      </c>
      <c r="G621" s="2" t="s">
        <v>13</v>
      </c>
      <c r="H621">
        <v>2014</v>
      </c>
      <c r="I621">
        <v>31078.400000000001</v>
      </c>
      <c r="J621">
        <v>0</v>
      </c>
      <c r="K621">
        <f t="shared" si="52"/>
        <v>-0.54045057109997752</v>
      </c>
      <c r="L621" t="str">
        <f t="shared" si="53"/>
        <v>Normal</v>
      </c>
      <c r="M621">
        <f t="shared" si="54"/>
        <v>0</v>
      </c>
      <c r="N621" s="2" t="str">
        <f t="shared" si="55"/>
        <v>Normal</v>
      </c>
      <c r="O621" s="2">
        <f t="shared" si="56"/>
        <v>0</v>
      </c>
      <c r="P621" s="2" t="str">
        <f t="shared" si="57"/>
        <v>Normal</v>
      </c>
    </row>
    <row r="622" spans="1:16" x14ac:dyDescent="0.35">
      <c r="A622">
        <v>3710.7</v>
      </c>
      <c r="B622">
        <v>22794.3</v>
      </c>
      <c r="C622">
        <v>17670</v>
      </c>
      <c r="D622">
        <v>5124.2999999999993</v>
      </c>
      <c r="E622" s="1">
        <v>41883</v>
      </c>
      <c r="F622">
        <v>9</v>
      </c>
      <c r="G622" s="2" t="s">
        <v>16</v>
      </c>
      <c r="H622">
        <v>2014</v>
      </c>
      <c r="I622">
        <v>21380.7</v>
      </c>
      <c r="J622">
        <v>0</v>
      </c>
      <c r="K622">
        <f t="shared" si="52"/>
        <v>-0.62063117985898952</v>
      </c>
      <c r="L622" t="str">
        <f t="shared" si="53"/>
        <v>Normal</v>
      </c>
      <c r="M622">
        <f t="shared" si="54"/>
        <v>0</v>
      </c>
      <c r="N622" s="2" t="str">
        <f t="shared" si="55"/>
        <v>Normal</v>
      </c>
      <c r="O622" s="2">
        <f t="shared" si="56"/>
        <v>0</v>
      </c>
      <c r="P622" s="2" t="str">
        <f t="shared" si="57"/>
        <v>Normal</v>
      </c>
    </row>
    <row r="623" spans="1:16" x14ac:dyDescent="0.35">
      <c r="A623">
        <v>2340.2399999999998</v>
      </c>
      <c r="B623">
        <v>14375.76</v>
      </c>
      <c r="C623">
        <v>4179</v>
      </c>
      <c r="D623">
        <v>10196.76</v>
      </c>
      <c r="E623" s="1">
        <v>41913</v>
      </c>
      <c r="F623">
        <v>10</v>
      </c>
      <c r="G623" s="2" t="s">
        <v>17</v>
      </c>
      <c r="H623">
        <v>2014</v>
      </c>
      <c r="I623">
        <v>6519.24</v>
      </c>
      <c r="J623">
        <v>0</v>
      </c>
      <c r="K623">
        <f t="shared" si="52"/>
        <v>-0.65621893679129351</v>
      </c>
      <c r="L623" t="str">
        <f t="shared" si="53"/>
        <v>Normal</v>
      </c>
      <c r="M623">
        <f t="shared" si="54"/>
        <v>0</v>
      </c>
      <c r="N623" s="2" t="str">
        <f t="shared" si="55"/>
        <v>Normal</v>
      </c>
      <c r="O623" s="2">
        <f t="shared" si="56"/>
        <v>0</v>
      </c>
      <c r="P623" s="2" t="str">
        <f t="shared" si="57"/>
        <v>Normal</v>
      </c>
    </row>
    <row r="624" spans="1:16" x14ac:dyDescent="0.35">
      <c r="A624">
        <v>274.39999999999998</v>
      </c>
      <c r="B624">
        <v>1685.6</v>
      </c>
      <c r="C624">
        <v>1400</v>
      </c>
      <c r="D624">
        <v>285.59999999999991</v>
      </c>
      <c r="E624" s="1">
        <v>41974</v>
      </c>
      <c r="F624">
        <v>12</v>
      </c>
      <c r="G624" s="2" t="s">
        <v>12</v>
      </c>
      <c r="H624">
        <v>2014</v>
      </c>
      <c r="I624">
        <v>1674.4</v>
      </c>
      <c r="J624">
        <v>0</v>
      </c>
      <c r="K624">
        <f t="shared" si="52"/>
        <v>-0.70986414480979187</v>
      </c>
      <c r="L624" t="str">
        <f t="shared" si="53"/>
        <v>Normal</v>
      </c>
      <c r="M624">
        <f t="shared" si="54"/>
        <v>0</v>
      </c>
      <c r="N624" s="2" t="str">
        <f t="shared" si="55"/>
        <v>Normal</v>
      </c>
      <c r="O624" s="2">
        <f t="shared" si="56"/>
        <v>0</v>
      </c>
      <c r="P624" s="2" t="str">
        <f t="shared" si="57"/>
        <v>Normal</v>
      </c>
    </row>
    <row r="625" spans="1:16" x14ac:dyDescent="0.35">
      <c r="A625">
        <v>2340.2399999999998</v>
      </c>
      <c r="B625">
        <v>14375.76</v>
      </c>
      <c r="C625">
        <v>4179</v>
      </c>
      <c r="D625">
        <v>10196.76</v>
      </c>
      <c r="E625" s="1">
        <v>41913</v>
      </c>
      <c r="F625">
        <v>10</v>
      </c>
      <c r="G625" s="2" t="s">
        <v>17</v>
      </c>
      <c r="H625">
        <v>2014</v>
      </c>
      <c r="I625">
        <v>6519.24</v>
      </c>
      <c r="J625">
        <v>0</v>
      </c>
      <c r="K625">
        <f t="shared" si="52"/>
        <v>-0.65621893679129351</v>
      </c>
      <c r="L625" t="str">
        <f t="shared" si="53"/>
        <v>Normal</v>
      </c>
      <c r="M625">
        <f t="shared" si="54"/>
        <v>0</v>
      </c>
      <c r="N625" s="2" t="str">
        <f t="shared" si="55"/>
        <v>Normal</v>
      </c>
      <c r="O625" s="2">
        <f t="shared" si="56"/>
        <v>0</v>
      </c>
      <c r="P625" s="2" t="str">
        <f t="shared" si="57"/>
        <v>Normal</v>
      </c>
    </row>
    <row r="626" spans="1:16" x14ac:dyDescent="0.35">
      <c r="A626">
        <v>3385.2</v>
      </c>
      <c r="B626">
        <v>20794.8</v>
      </c>
      <c r="C626">
        <v>6045</v>
      </c>
      <c r="D626">
        <v>14749.8</v>
      </c>
      <c r="E626" s="1">
        <v>41609</v>
      </c>
      <c r="F626">
        <v>12</v>
      </c>
      <c r="G626" s="2" t="s">
        <v>12</v>
      </c>
      <c r="H626">
        <v>2013</v>
      </c>
      <c r="I626">
        <v>9430.2000000000007</v>
      </c>
      <c r="J626">
        <v>0</v>
      </c>
      <c r="K626">
        <f t="shared" si="52"/>
        <v>-0.62908368112240831</v>
      </c>
      <c r="L626" t="str">
        <f t="shared" si="53"/>
        <v>Normal</v>
      </c>
      <c r="M626">
        <f t="shared" si="54"/>
        <v>0</v>
      </c>
      <c r="N626" s="2" t="str">
        <f t="shared" si="55"/>
        <v>Normal</v>
      </c>
      <c r="O626" s="2">
        <f t="shared" si="56"/>
        <v>0</v>
      </c>
      <c r="P626" s="2" t="str">
        <f t="shared" si="57"/>
        <v>Normal</v>
      </c>
    </row>
    <row r="627" spans="1:16" x14ac:dyDescent="0.35">
      <c r="A627">
        <v>33642</v>
      </c>
      <c r="B627">
        <v>206658</v>
      </c>
      <c r="C627">
        <v>200250</v>
      </c>
      <c r="D627">
        <v>6408</v>
      </c>
      <c r="E627" s="1">
        <v>41821</v>
      </c>
      <c r="F627">
        <v>7</v>
      </c>
      <c r="G627" s="2" t="s">
        <v>14</v>
      </c>
      <c r="H627">
        <v>2014</v>
      </c>
      <c r="I627">
        <v>233892</v>
      </c>
      <c r="J627">
        <v>0</v>
      </c>
      <c r="K627">
        <f t="shared" si="52"/>
        <v>0.15661721051203564</v>
      </c>
      <c r="L627" t="str">
        <f t="shared" si="53"/>
        <v>Normal</v>
      </c>
      <c r="M627">
        <f t="shared" si="54"/>
        <v>0</v>
      </c>
      <c r="N627" s="2" t="str">
        <f t="shared" si="55"/>
        <v>Normal</v>
      </c>
      <c r="O627" s="2">
        <f t="shared" si="56"/>
        <v>0</v>
      </c>
      <c r="P627" s="2" t="str">
        <f t="shared" si="57"/>
        <v>Normal</v>
      </c>
    </row>
    <row r="628" spans="1:16" x14ac:dyDescent="0.35">
      <c r="A628">
        <v>17902.5</v>
      </c>
      <c r="B628">
        <v>109972.5</v>
      </c>
      <c r="C628">
        <v>122760</v>
      </c>
      <c r="D628">
        <v>-12787.5</v>
      </c>
      <c r="E628" s="1">
        <v>41518</v>
      </c>
      <c r="F628">
        <v>9</v>
      </c>
      <c r="G628" s="2" t="s">
        <v>16</v>
      </c>
      <c r="H628">
        <v>2013</v>
      </c>
      <c r="I628">
        <v>140662.5</v>
      </c>
      <c r="J628">
        <v>0</v>
      </c>
      <c r="K628">
        <f t="shared" si="52"/>
        <v>-0.25210212477392752</v>
      </c>
      <c r="L628" t="str">
        <f t="shared" si="53"/>
        <v>Normal</v>
      </c>
      <c r="M628">
        <f t="shared" si="54"/>
        <v>0</v>
      </c>
      <c r="N628" s="2" t="str">
        <f t="shared" si="55"/>
        <v>Normal</v>
      </c>
      <c r="O628" s="2">
        <f t="shared" si="56"/>
        <v>0</v>
      </c>
      <c r="P628" s="2" t="str">
        <f t="shared" si="57"/>
        <v>Normal</v>
      </c>
    </row>
    <row r="629" spans="1:16" x14ac:dyDescent="0.35">
      <c r="A629">
        <v>62832</v>
      </c>
      <c r="B629">
        <v>385968</v>
      </c>
      <c r="C629">
        <v>374000</v>
      </c>
      <c r="D629">
        <v>11968</v>
      </c>
      <c r="E629" s="1">
        <v>41913</v>
      </c>
      <c r="F629">
        <v>10</v>
      </c>
      <c r="G629" s="2" t="s">
        <v>17</v>
      </c>
      <c r="H629">
        <v>2014</v>
      </c>
      <c r="I629">
        <v>436832</v>
      </c>
      <c r="J629">
        <v>0</v>
      </c>
      <c r="K629">
        <f t="shared" si="52"/>
        <v>0.914615710908952</v>
      </c>
      <c r="L629" t="str">
        <f t="shared" si="53"/>
        <v>Normal</v>
      </c>
      <c r="M629">
        <f t="shared" si="54"/>
        <v>0</v>
      </c>
      <c r="N629" s="2" t="str">
        <f t="shared" si="55"/>
        <v>Normal</v>
      </c>
      <c r="O629" s="2">
        <f t="shared" si="56"/>
        <v>0</v>
      </c>
      <c r="P629" s="2" t="str">
        <f t="shared" si="57"/>
        <v>Normal</v>
      </c>
    </row>
    <row r="630" spans="1:16" x14ac:dyDescent="0.35">
      <c r="A630">
        <v>42420</v>
      </c>
      <c r="B630">
        <v>260580</v>
      </c>
      <c r="C630">
        <v>252500</v>
      </c>
      <c r="D630">
        <v>8080</v>
      </c>
      <c r="E630" s="1">
        <v>41913</v>
      </c>
      <c r="F630">
        <v>10</v>
      </c>
      <c r="G630" s="2" t="s">
        <v>17</v>
      </c>
      <c r="H630">
        <v>2014</v>
      </c>
      <c r="I630">
        <v>294920</v>
      </c>
      <c r="J630">
        <v>0</v>
      </c>
      <c r="K630">
        <f t="shared" si="52"/>
        <v>0.38456208329326658</v>
      </c>
      <c r="L630" t="str">
        <f t="shared" si="53"/>
        <v>Normal</v>
      </c>
      <c r="M630">
        <f t="shared" si="54"/>
        <v>0</v>
      </c>
      <c r="N630" s="2" t="str">
        <f t="shared" si="55"/>
        <v>Normal</v>
      </c>
      <c r="O630" s="2">
        <f t="shared" si="56"/>
        <v>0</v>
      </c>
      <c r="P630" s="2" t="str">
        <f t="shared" si="57"/>
        <v>Normal</v>
      </c>
    </row>
    <row r="631" spans="1:16" x14ac:dyDescent="0.35">
      <c r="A631">
        <v>3177.3</v>
      </c>
      <c r="B631">
        <v>19517.7</v>
      </c>
      <c r="C631">
        <v>15130</v>
      </c>
      <c r="D631">
        <v>4387.7000000000007</v>
      </c>
      <c r="E631" s="1">
        <v>41944</v>
      </c>
      <c r="F631">
        <v>11</v>
      </c>
      <c r="G631" s="2" t="s">
        <v>19</v>
      </c>
      <c r="H631">
        <v>2014</v>
      </c>
      <c r="I631">
        <v>18307.3</v>
      </c>
      <c r="J631">
        <v>0</v>
      </c>
      <c r="K631">
        <f t="shared" si="52"/>
        <v>-0.63448237547775321</v>
      </c>
      <c r="L631" t="str">
        <f t="shared" si="53"/>
        <v>Normal</v>
      </c>
      <c r="M631">
        <f t="shared" si="54"/>
        <v>0</v>
      </c>
      <c r="N631" s="2" t="str">
        <f t="shared" si="55"/>
        <v>Normal</v>
      </c>
      <c r="O631" s="2">
        <f t="shared" si="56"/>
        <v>0</v>
      </c>
      <c r="P631" s="2" t="str">
        <f t="shared" si="57"/>
        <v>Normal</v>
      </c>
    </row>
    <row r="632" spans="1:16" x14ac:dyDescent="0.35">
      <c r="A632">
        <v>4830</v>
      </c>
      <c r="B632">
        <v>29670</v>
      </c>
      <c r="C632">
        <v>23000</v>
      </c>
      <c r="D632">
        <v>6670</v>
      </c>
      <c r="E632" s="1">
        <v>41974</v>
      </c>
      <c r="F632">
        <v>12</v>
      </c>
      <c r="G632" s="2" t="s">
        <v>12</v>
      </c>
      <c r="H632">
        <v>2014</v>
      </c>
      <c r="I632">
        <v>27830</v>
      </c>
      <c r="J632">
        <v>0</v>
      </c>
      <c r="K632">
        <f t="shared" si="52"/>
        <v>-0.59156548196607173</v>
      </c>
      <c r="L632" t="str">
        <f t="shared" si="53"/>
        <v>Normal</v>
      </c>
      <c r="M632">
        <f t="shared" si="54"/>
        <v>0</v>
      </c>
      <c r="N632" s="2" t="str">
        <f t="shared" si="55"/>
        <v>Normal</v>
      </c>
      <c r="O632" s="2">
        <f t="shared" si="56"/>
        <v>0</v>
      </c>
      <c r="P632" s="2" t="str">
        <f t="shared" si="57"/>
        <v>Normal</v>
      </c>
    </row>
    <row r="633" spans="1:16" x14ac:dyDescent="0.35">
      <c r="A633">
        <v>49367.5</v>
      </c>
      <c r="B633">
        <v>303257.5</v>
      </c>
      <c r="C633">
        <v>338520</v>
      </c>
      <c r="D633">
        <v>-35262.5</v>
      </c>
      <c r="E633" s="1">
        <v>41609</v>
      </c>
      <c r="F633">
        <v>12</v>
      </c>
      <c r="G633" s="2" t="s">
        <v>12</v>
      </c>
      <c r="H633">
        <v>2013</v>
      </c>
      <c r="I633">
        <v>387887.5</v>
      </c>
      <c r="J633">
        <v>0</v>
      </c>
      <c r="K633">
        <f t="shared" si="52"/>
        <v>0.56497299735656148</v>
      </c>
      <c r="L633" t="str">
        <f t="shared" si="53"/>
        <v>Normal</v>
      </c>
      <c r="M633">
        <f t="shared" si="54"/>
        <v>0</v>
      </c>
      <c r="N633" s="2" t="str">
        <f t="shared" si="55"/>
        <v>Normal</v>
      </c>
      <c r="O633" s="2">
        <f t="shared" si="56"/>
        <v>0</v>
      </c>
      <c r="P633" s="2" t="str">
        <f t="shared" si="57"/>
        <v>Normal</v>
      </c>
    </row>
    <row r="634" spans="1:16" x14ac:dyDescent="0.35">
      <c r="A634">
        <v>109147.5</v>
      </c>
      <c r="B634">
        <v>670477.5</v>
      </c>
      <c r="C634">
        <v>579150</v>
      </c>
      <c r="D634">
        <v>91327.5</v>
      </c>
      <c r="E634" s="1">
        <v>41640</v>
      </c>
      <c r="F634">
        <v>1</v>
      </c>
      <c r="G634" s="2" t="s">
        <v>10</v>
      </c>
      <c r="H634">
        <v>2014</v>
      </c>
      <c r="I634">
        <v>688297.5</v>
      </c>
      <c r="J634">
        <v>0</v>
      </c>
      <c r="K634">
        <f t="shared" si="52"/>
        <v>2.1173248422941309</v>
      </c>
      <c r="L634" t="str">
        <f t="shared" si="53"/>
        <v>Normal</v>
      </c>
      <c r="M634">
        <f t="shared" si="54"/>
        <v>0</v>
      </c>
      <c r="N634" s="2" t="str">
        <f t="shared" si="55"/>
        <v>Normal</v>
      </c>
      <c r="O634" s="2">
        <f t="shared" si="56"/>
        <v>0</v>
      </c>
      <c r="P634" s="2" t="str">
        <f t="shared" si="57"/>
        <v>Normal</v>
      </c>
    </row>
    <row r="635" spans="1:16" x14ac:dyDescent="0.35">
      <c r="A635">
        <v>58751</v>
      </c>
      <c r="B635">
        <v>360899</v>
      </c>
      <c r="C635">
        <v>311740</v>
      </c>
      <c r="D635">
        <v>49159</v>
      </c>
      <c r="E635" s="1">
        <v>41730</v>
      </c>
      <c r="F635">
        <v>4</v>
      </c>
      <c r="G635" s="2" t="s">
        <v>20</v>
      </c>
      <c r="H635">
        <v>2014</v>
      </c>
      <c r="I635">
        <v>370491</v>
      </c>
      <c r="J635">
        <v>0</v>
      </c>
      <c r="K635">
        <f t="shared" si="52"/>
        <v>0.80864134022995859</v>
      </c>
      <c r="L635" t="str">
        <f t="shared" si="53"/>
        <v>Normal</v>
      </c>
      <c r="M635">
        <f t="shared" si="54"/>
        <v>0</v>
      </c>
      <c r="N635" s="2" t="str">
        <f t="shared" si="55"/>
        <v>Normal</v>
      </c>
      <c r="O635" s="2">
        <f t="shared" si="56"/>
        <v>0</v>
      </c>
      <c r="P635" s="2" t="str">
        <f t="shared" si="57"/>
        <v>Normal</v>
      </c>
    </row>
    <row r="636" spans="1:16" x14ac:dyDescent="0.35">
      <c r="A636">
        <v>9800</v>
      </c>
      <c r="B636">
        <v>60200</v>
      </c>
      <c r="C636">
        <v>52000</v>
      </c>
      <c r="D636">
        <v>8200</v>
      </c>
      <c r="E636" s="1">
        <v>41760</v>
      </c>
      <c r="F636">
        <v>5</v>
      </c>
      <c r="G636" s="2" t="s">
        <v>21</v>
      </c>
      <c r="H636">
        <v>2014</v>
      </c>
      <c r="I636">
        <v>61800</v>
      </c>
      <c r="J636">
        <v>0</v>
      </c>
      <c r="K636">
        <f t="shared" si="52"/>
        <v>-0.46250578525580538</v>
      </c>
      <c r="L636" t="str">
        <f t="shared" si="53"/>
        <v>Normal</v>
      </c>
      <c r="M636">
        <f t="shared" si="54"/>
        <v>0</v>
      </c>
      <c r="N636" s="2" t="str">
        <f t="shared" si="55"/>
        <v>Normal</v>
      </c>
      <c r="O636" s="2">
        <f t="shared" si="56"/>
        <v>0</v>
      </c>
      <c r="P636" s="2" t="str">
        <f t="shared" si="57"/>
        <v>Normal</v>
      </c>
    </row>
    <row r="637" spans="1:16" x14ac:dyDescent="0.35">
      <c r="A637">
        <v>380.24</v>
      </c>
      <c r="B637">
        <v>2335.7600000000002</v>
      </c>
      <c r="C637">
        <v>1940</v>
      </c>
      <c r="D637">
        <v>395.76000000000022</v>
      </c>
      <c r="E637" s="1">
        <v>41883</v>
      </c>
      <c r="F637">
        <v>9</v>
      </c>
      <c r="G637" s="2" t="s">
        <v>16</v>
      </c>
      <c r="H637">
        <v>2014</v>
      </c>
      <c r="I637">
        <v>2320.2399999999998</v>
      </c>
      <c r="J637">
        <v>0</v>
      </c>
      <c r="K637">
        <f t="shared" si="52"/>
        <v>-0.70711571859252531</v>
      </c>
      <c r="L637" t="str">
        <f t="shared" si="53"/>
        <v>Normal</v>
      </c>
      <c r="M637">
        <f t="shared" si="54"/>
        <v>0</v>
      </c>
      <c r="N637" s="2" t="str">
        <f t="shared" si="55"/>
        <v>Normal</v>
      </c>
      <c r="O637" s="2">
        <f t="shared" si="56"/>
        <v>0</v>
      </c>
      <c r="P637" s="2" t="str">
        <f t="shared" si="57"/>
        <v>Normal</v>
      </c>
    </row>
    <row r="638" spans="1:16" x14ac:dyDescent="0.35">
      <c r="A638">
        <v>1692.46</v>
      </c>
      <c r="B638">
        <v>10396.540000000001</v>
      </c>
      <c r="C638">
        <v>8635</v>
      </c>
      <c r="D638">
        <v>1761.5400000000009</v>
      </c>
      <c r="E638" s="1">
        <v>41548</v>
      </c>
      <c r="F638">
        <v>10</v>
      </c>
      <c r="G638" s="2" t="s">
        <v>17</v>
      </c>
      <c r="H638">
        <v>2013</v>
      </c>
      <c r="I638">
        <v>10327.459999999999</v>
      </c>
      <c r="J638">
        <v>0</v>
      </c>
      <c r="K638">
        <f t="shared" si="52"/>
        <v>-0.67304032317660067</v>
      </c>
      <c r="L638" t="str">
        <f t="shared" si="53"/>
        <v>Normal</v>
      </c>
      <c r="M638">
        <f t="shared" si="54"/>
        <v>0</v>
      </c>
      <c r="N638" s="2" t="str">
        <f t="shared" si="55"/>
        <v>Normal</v>
      </c>
      <c r="O638" s="2">
        <f t="shared" si="56"/>
        <v>0</v>
      </c>
      <c r="P638" s="2" t="str">
        <f t="shared" si="57"/>
        <v>Normal</v>
      </c>
    </row>
    <row r="639" spans="1:16" x14ac:dyDescent="0.35">
      <c r="A639">
        <v>4830</v>
      </c>
      <c r="B639">
        <v>29670</v>
      </c>
      <c r="C639">
        <v>23000</v>
      </c>
      <c r="D639">
        <v>6670</v>
      </c>
      <c r="E639" s="1">
        <v>41974</v>
      </c>
      <c r="F639">
        <v>12</v>
      </c>
      <c r="G639" s="2" t="s">
        <v>12</v>
      </c>
      <c r="H639">
        <v>2014</v>
      </c>
      <c r="I639">
        <v>27830</v>
      </c>
      <c r="J639">
        <v>0</v>
      </c>
      <c r="K639">
        <f t="shared" si="52"/>
        <v>-0.59156548196607173</v>
      </c>
      <c r="L639" t="str">
        <f t="shared" si="53"/>
        <v>Normal</v>
      </c>
      <c r="M639">
        <f t="shared" si="54"/>
        <v>0</v>
      </c>
      <c r="N639" s="2" t="str">
        <f t="shared" si="55"/>
        <v>Normal</v>
      </c>
      <c r="O639" s="2">
        <f t="shared" si="56"/>
        <v>0</v>
      </c>
      <c r="P639" s="2" t="str">
        <f t="shared" si="57"/>
        <v>Normal</v>
      </c>
    </row>
    <row r="640" spans="1:16" x14ac:dyDescent="0.35">
      <c r="A640">
        <v>728</v>
      </c>
      <c r="B640">
        <v>4472</v>
      </c>
      <c r="C640">
        <v>2600</v>
      </c>
      <c r="D640">
        <v>1872</v>
      </c>
      <c r="E640" s="1">
        <v>41671</v>
      </c>
      <c r="F640">
        <v>2</v>
      </c>
      <c r="G640" s="2" t="s">
        <v>18</v>
      </c>
      <c r="H640">
        <v>2014</v>
      </c>
      <c r="I640">
        <v>3328</v>
      </c>
      <c r="J640">
        <v>0</v>
      </c>
      <c r="K640">
        <f t="shared" si="52"/>
        <v>-0.69808517530722114</v>
      </c>
      <c r="L640" t="str">
        <f t="shared" si="53"/>
        <v>Normal</v>
      </c>
      <c r="M640">
        <f t="shared" si="54"/>
        <v>0</v>
      </c>
      <c r="N640" s="2" t="str">
        <f t="shared" si="55"/>
        <v>Normal</v>
      </c>
      <c r="O640" s="2">
        <f t="shared" si="56"/>
        <v>0</v>
      </c>
      <c r="P640" s="2" t="str">
        <f t="shared" si="57"/>
        <v>Normal</v>
      </c>
    </row>
    <row r="641" spans="1:16" x14ac:dyDescent="0.35">
      <c r="A641">
        <v>5187</v>
      </c>
      <c r="B641">
        <v>31863</v>
      </c>
      <c r="C641">
        <v>24700</v>
      </c>
      <c r="D641">
        <v>7163</v>
      </c>
      <c r="E641" s="1">
        <v>41518</v>
      </c>
      <c r="F641">
        <v>9</v>
      </c>
      <c r="G641" s="2" t="s">
        <v>16</v>
      </c>
      <c r="H641">
        <v>2013</v>
      </c>
      <c r="I641">
        <v>29887</v>
      </c>
      <c r="J641">
        <v>0</v>
      </c>
      <c r="K641">
        <f t="shared" si="52"/>
        <v>-0.58229499670941876</v>
      </c>
      <c r="L641" t="str">
        <f t="shared" si="53"/>
        <v>Normal</v>
      </c>
      <c r="M641">
        <f t="shared" si="54"/>
        <v>0</v>
      </c>
      <c r="N641" s="2" t="str">
        <f t="shared" si="55"/>
        <v>Normal</v>
      </c>
      <c r="O641" s="2">
        <f t="shared" si="56"/>
        <v>0</v>
      </c>
      <c r="P641" s="2" t="str">
        <f t="shared" si="57"/>
        <v>Normal</v>
      </c>
    </row>
    <row r="642" spans="1:16" x14ac:dyDescent="0.35">
      <c r="A642">
        <v>3660.3</v>
      </c>
      <c r="B642">
        <v>22484.7</v>
      </c>
      <c r="C642">
        <v>17430</v>
      </c>
      <c r="D642">
        <v>5054.7000000000007</v>
      </c>
      <c r="E642" s="1">
        <v>41548</v>
      </c>
      <c r="F642">
        <v>10</v>
      </c>
      <c r="G642" s="2" t="s">
        <v>17</v>
      </c>
      <c r="H642">
        <v>2013</v>
      </c>
      <c r="I642">
        <v>21090.3</v>
      </c>
      <c r="J642">
        <v>0</v>
      </c>
      <c r="K642">
        <f t="shared" ref="K642:K701" si="58">(B642 - $U$2) / $U$3</f>
        <v>-0.62193995424816395</v>
      </c>
      <c r="L642" t="str">
        <f t="shared" ref="L642:L705" si="59">IF(ABS(K642) &gt; 3, "Anomaly", "Normal")</f>
        <v>Normal</v>
      </c>
      <c r="M642">
        <f t="shared" ref="M642:M701" si="60">IFERROR((I642-$S$6)/$S$7,0)</f>
        <v>0</v>
      </c>
      <c r="N642" s="2" t="str">
        <f t="shared" ref="N642:N705" si="61">IF(ABS(M642) &gt; 3, "Anomaly", "Normal")</f>
        <v>Normal</v>
      </c>
      <c r="O642" s="2">
        <f t="shared" ref="O642:O701" si="62">IFERROR((J642-$Q$2)/$Q$3,0)</f>
        <v>0</v>
      </c>
      <c r="P642" s="2" t="str">
        <f t="shared" ref="P642:P705" si="63">IF(ABS(O642)&gt;3,"Anomaly","Normal")</f>
        <v>Normal</v>
      </c>
    </row>
    <row r="643" spans="1:16" x14ac:dyDescent="0.35">
      <c r="A643">
        <v>4895.5200000000004</v>
      </c>
      <c r="B643">
        <v>30072.48</v>
      </c>
      <c r="C643">
        <v>8742</v>
      </c>
      <c r="D643">
        <v>21330.48</v>
      </c>
      <c r="E643" s="1">
        <v>41913</v>
      </c>
      <c r="F643">
        <v>10</v>
      </c>
      <c r="G643" s="2" t="s">
        <v>17</v>
      </c>
      <c r="H643">
        <v>2014</v>
      </c>
      <c r="I643">
        <v>13637.52</v>
      </c>
      <c r="J643">
        <v>0</v>
      </c>
      <c r="K643">
        <f t="shared" si="58"/>
        <v>-0.58986407526014484</v>
      </c>
      <c r="L643" t="str">
        <f t="shared" si="59"/>
        <v>Normal</v>
      </c>
      <c r="M643">
        <f t="shared" si="60"/>
        <v>0</v>
      </c>
      <c r="N643" s="2" t="str">
        <f t="shared" si="61"/>
        <v>Normal</v>
      </c>
      <c r="O643" s="2">
        <f t="shared" si="62"/>
        <v>0</v>
      </c>
      <c r="P643" s="2" t="str">
        <f t="shared" si="63"/>
        <v>Normal</v>
      </c>
    </row>
    <row r="644" spans="1:16" x14ac:dyDescent="0.35">
      <c r="A644">
        <v>1696.38</v>
      </c>
      <c r="B644">
        <v>10420.619999999999</v>
      </c>
      <c r="C644">
        <v>8655</v>
      </c>
      <c r="D644">
        <v>1765.619999999999</v>
      </c>
      <c r="E644" s="1">
        <v>41913</v>
      </c>
      <c r="F644">
        <v>10</v>
      </c>
      <c r="G644" s="2" t="s">
        <v>17</v>
      </c>
      <c r="H644">
        <v>2014</v>
      </c>
      <c r="I644">
        <v>10351.380000000001</v>
      </c>
      <c r="J644">
        <v>0</v>
      </c>
      <c r="K644">
        <f t="shared" si="58"/>
        <v>-0.67293852961299827</v>
      </c>
      <c r="L644" t="str">
        <f t="shared" si="59"/>
        <v>Normal</v>
      </c>
      <c r="M644">
        <f t="shared" si="60"/>
        <v>0</v>
      </c>
      <c r="N644" s="2" t="str">
        <f t="shared" si="61"/>
        <v>Normal</v>
      </c>
      <c r="O644" s="2">
        <f t="shared" si="62"/>
        <v>0</v>
      </c>
      <c r="P644" s="2" t="str">
        <f t="shared" si="63"/>
        <v>Normal</v>
      </c>
    </row>
    <row r="645" spans="1:16" x14ac:dyDescent="0.35">
      <c r="A645">
        <v>34300</v>
      </c>
      <c r="B645">
        <v>210700</v>
      </c>
      <c r="C645">
        <v>182000</v>
      </c>
      <c r="D645">
        <v>28700</v>
      </c>
      <c r="E645" s="1">
        <v>41944</v>
      </c>
      <c r="F645">
        <v>11</v>
      </c>
      <c r="G645" s="2" t="s">
        <v>19</v>
      </c>
      <c r="H645">
        <v>2014</v>
      </c>
      <c r="I645">
        <v>216300</v>
      </c>
      <c r="J645">
        <v>0</v>
      </c>
      <c r="K645">
        <f t="shared" si="58"/>
        <v>0.17370398725959202</v>
      </c>
      <c r="L645" t="str">
        <f t="shared" si="59"/>
        <v>Normal</v>
      </c>
      <c r="M645">
        <f t="shared" si="60"/>
        <v>0</v>
      </c>
      <c r="N645" s="2" t="str">
        <f t="shared" si="61"/>
        <v>Normal</v>
      </c>
      <c r="O645" s="2">
        <f t="shared" si="62"/>
        <v>0</v>
      </c>
      <c r="P645" s="2" t="str">
        <f t="shared" si="63"/>
        <v>Normal</v>
      </c>
    </row>
    <row r="646" spans="1:16" x14ac:dyDescent="0.35">
      <c r="A646">
        <v>3732.96</v>
      </c>
      <c r="B646">
        <v>22931.040000000001</v>
      </c>
      <c r="C646">
        <v>6666</v>
      </c>
      <c r="D646">
        <v>16265.04</v>
      </c>
      <c r="E646" s="1">
        <v>41579</v>
      </c>
      <c r="F646">
        <v>11</v>
      </c>
      <c r="G646" s="2" t="s">
        <v>19</v>
      </c>
      <c r="H646">
        <v>2013</v>
      </c>
      <c r="I646">
        <v>10398.959999999999</v>
      </c>
      <c r="J646">
        <v>0</v>
      </c>
      <c r="K646">
        <f t="shared" si="58"/>
        <v>-0.62005313783710403</v>
      </c>
      <c r="L646" t="str">
        <f t="shared" si="59"/>
        <v>Normal</v>
      </c>
      <c r="M646">
        <f t="shared" si="60"/>
        <v>0</v>
      </c>
      <c r="N646" s="2" t="str">
        <f t="shared" si="61"/>
        <v>Normal</v>
      </c>
      <c r="O646" s="2">
        <f t="shared" si="62"/>
        <v>0</v>
      </c>
      <c r="P646" s="2" t="str">
        <f t="shared" si="63"/>
        <v>Normal</v>
      </c>
    </row>
    <row r="647" spans="1:16" x14ac:dyDescent="0.35">
      <c r="A647">
        <v>57673</v>
      </c>
      <c r="B647">
        <v>354277</v>
      </c>
      <c r="C647">
        <v>306020</v>
      </c>
      <c r="D647">
        <v>48257</v>
      </c>
      <c r="E647" s="1">
        <v>41944</v>
      </c>
      <c r="F647">
        <v>11</v>
      </c>
      <c r="G647" s="2" t="s">
        <v>19</v>
      </c>
      <c r="H647">
        <v>2014</v>
      </c>
      <c r="I647">
        <v>363693</v>
      </c>
      <c r="J647">
        <v>0</v>
      </c>
      <c r="K647">
        <f t="shared" si="58"/>
        <v>0.78064811023928116</v>
      </c>
      <c r="L647" t="str">
        <f t="shared" si="59"/>
        <v>Normal</v>
      </c>
      <c r="M647">
        <f t="shared" si="60"/>
        <v>0</v>
      </c>
      <c r="N647" s="2" t="str">
        <f t="shared" si="61"/>
        <v>Normal</v>
      </c>
      <c r="O647" s="2">
        <f t="shared" si="62"/>
        <v>0</v>
      </c>
      <c r="P647" s="2" t="str">
        <f t="shared" si="63"/>
        <v>Normal</v>
      </c>
    </row>
    <row r="648" spans="1:16" x14ac:dyDescent="0.35">
      <c r="A648">
        <v>94178</v>
      </c>
      <c r="B648">
        <v>578522</v>
      </c>
      <c r="C648">
        <v>499720</v>
      </c>
      <c r="D648">
        <v>78802</v>
      </c>
      <c r="E648" s="1">
        <v>41579</v>
      </c>
      <c r="F648">
        <v>11</v>
      </c>
      <c r="G648" s="2" t="s">
        <v>19</v>
      </c>
      <c r="H648">
        <v>2013</v>
      </c>
      <c r="I648">
        <v>593898</v>
      </c>
      <c r="J648">
        <v>0</v>
      </c>
      <c r="K648">
        <f t="shared" si="58"/>
        <v>1.7286006712872233</v>
      </c>
      <c r="L648" t="str">
        <f t="shared" si="59"/>
        <v>Normal</v>
      </c>
      <c r="M648">
        <f t="shared" si="60"/>
        <v>0</v>
      </c>
      <c r="N648" s="2" t="str">
        <f t="shared" si="61"/>
        <v>Normal</v>
      </c>
      <c r="O648" s="2">
        <f t="shared" si="62"/>
        <v>0</v>
      </c>
      <c r="P648" s="2" t="str">
        <f t="shared" si="63"/>
        <v>Normal</v>
      </c>
    </row>
    <row r="649" spans="1:16" x14ac:dyDescent="0.35">
      <c r="A649">
        <v>27562.5</v>
      </c>
      <c r="B649">
        <v>169312.5</v>
      </c>
      <c r="C649">
        <v>189000</v>
      </c>
      <c r="D649">
        <v>-19687.5</v>
      </c>
      <c r="E649" s="1">
        <v>41671</v>
      </c>
      <c r="F649">
        <v>2</v>
      </c>
      <c r="G649" s="2" t="s">
        <v>18</v>
      </c>
      <c r="H649">
        <v>2014</v>
      </c>
      <c r="I649">
        <v>216562.5</v>
      </c>
      <c r="J649">
        <v>0</v>
      </c>
      <c r="K649">
        <f t="shared" si="58"/>
        <v>-1.2537001821422669E-3</v>
      </c>
      <c r="L649" t="str">
        <f t="shared" si="59"/>
        <v>Normal</v>
      </c>
      <c r="M649">
        <f t="shared" si="60"/>
        <v>0</v>
      </c>
      <c r="N649" s="2" t="str">
        <f t="shared" si="61"/>
        <v>Normal</v>
      </c>
      <c r="O649" s="2">
        <f t="shared" si="62"/>
        <v>0</v>
      </c>
      <c r="P649" s="2" t="str">
        <f t="shared" si="63"/>
        <v>Normal</v>
      </c>
    </row>
    <row r="650" spans="1:16" x14ac:dyDescent="0.35">
      <c r="A650">
        <v>1696.8000000000002</v>
      </c>
      <c r="B650">
        <v>10423.200000000001</v>
      </c>
      <c r="C650">
        <v>6060</v>
      </c>
      <c r="D650">
        <v>4363.2000000000007</v>
      </c>
      <c r="E650" s="1">
        <v>41730</v>
      </c>
      <c r="F650">
        <v>4</v>
      </c>
      <c r="G650" s="2" t="s">
        <v>20</v>
      </c>
      <c r="H650">
        <v>2014</v>
      </c>
      <c r="I650">
        <v>7756.8</v>
      </c>
      <c r="J650">
        <v>0</v>
      </c>
      <c r="K650">
        <f t="shared" si="58"/>
        <v>-0.67292762315975507</v>
      </c>
      <c r="L650" t="str">
        <f t="shared" si="59"/>
        <v>Normal</v>
      </c>
      <c r="M650">
        <f t="shared" si="60"/>
        <v>0</v>
      </c>
      <c r="N650" s="2" t="str">
        <f t="shared" si="61"/>
        <v>Normal</v>
      </c>
      <c r="O650" s="2">
        <f t="shared" si="62"/>
        <v>0</v>
      </c>
      <c r="P650" s="2" t="str">
        <f t="shared" si="63"/>
        <v>Normal</v>
      </c>
    </row>
    <row r="651" spans="1:16" x14ac:dyDescent="0.35">
      <c r="A651">
        <v>103320</v>
      </c>
      <c r="B651">
        <v>634680</v>
      </c>
      <c r="C651">
        <v>615000</v>
      </c>
      <c r="D651">
        <v>19680</v>
      </c>
      <c r="E651" s="1">
        <v>41821</v>
      </c>
      <c r="F651">
        <v>7</v>
      </c>
      <c r="G651" s="2" t="s">
        <v>14</v>
      </c>
      <c r="H651">
        <v>2014</v>
      </c>
      <c r="I651">
        <v>718320</v>
      </c>
      <c r="J651">
        <v>0</v>
      </c>
      <c r="K651">
        <f t="shared" si="58"/>
        <v>1.9659978035458257</v>
      </c>
      <c r="L651" t="str">
        <f t="shared" si="59"/>
        <v>Normal</v>
      </c>
      <c r="M651">
        <f t="shared" si="60"/>
        <v>0</v>
      </c>
      <c r="N651" s="2" t="str">
        <f t="shared" si="61"/>
        <v>Normal</v>
      </c>
      <c r="O651" s="2">
        <f t="shared" si="62"/>
        <v>0</v>
      </c>
      <c r="P651" s="2" t="str">
        <f t="shared" si="63"/>
        <v>Normal</v>
      </c>
    </row>
    <row r="652" spans="1:16" x14ac:dyDescent="0.35">
      <c r="A652">
        <v>11298</v>
      </c>
      <c r="B652">
        <v>69402</v>
      </c>
      <c r="C652">
        <v>67250</v>
      </c>
      <c r="D652">
        <v>2152</v>
      </c>
      <c r="E652" s="1">
        <v>41548</v>
      </c>
      <c r="F652">
        <v>10</v>
      </c>
      <c r="G652" s="2" t="s">
        <v>17</v>
      </c>
      <c r="H652">
        <v>2013</v>
      </c>
      <c r="I652">
        <v>78548</v>
      </c>
      <c r="J652">
        <v>0</v>
      </c>
      <c r="K652">
        <f t="shared" si="58"/>
        <v>-0.42360610202200683</v>
      </c>
      <c r="L652" t="str">
        <f t="shared" si="59"/>
        <v>Normal</v>
      </c>
      <c r="M652">
        <f t="shared" si="60"/>
        <v>0</v>
      </c>
      <c r="N652" s="2" t="str">
        <f t="shared" si="61"/>
        <v>Normal</v>
      </c>
      <c r="O652" s="2">
        <f t="shared" si="62"/>
        <v>0</v>
      </c>
      <c r="P652" s="2" t="str">
        <f t="shared" si="63"/>
        <v>Normal</v>
      </c>
    </row>
    <row r="653" spans="1:16" x14ac:dyDescent="0.35">
      <c r="A653">
        <v>106512</v>
      </c>
      <c r="B653">
        <v>654288</v>
      </c>
      <c r="C653">
        <v>634000</v>
      </c>
      <c r="D653">
        <v>20288</v>
      </c>
      <c r="E653" s="1">
        <v>41579</v>
      </c>
      <c r="F653">
        <v>11</v>
      </c>
      <c r="G653" s="2" t="s">
        <v>19</v>
      </c>
      <c r="H653">
        <v>2013</v>
      </c>
      <c r="I653">
        <v>740512</v>
      </c>
      <c r="J653">
        <v>0</v>
      </c>
      <c r="K653">
        <f t="shared" si="58"/>
        <v>2.0488868481935461</v>
      </c>
      <c r="L653" t="str">
        <f t="shared" si="59"/>
        <v>Normal</v>
      </c>
      <c r="M653">
        <f t="shared" si="60"/>
        <v>0</v>
      </c>
      <c r="N653" s="2" t="str">
        <f t="shared" si="61"/>
        <v>Normal</v>
      </c>
      <c r="O653" s="2">
        <f t="shared" si="62"/>
        <v>0</v>
      </c>
      <c r="P653" s="2" t="str">
        <f t="shared" si="63"/>
        <v>Normal</v>
      </c>
    </row>
    <row r="654" spans="1:16" x14ac:dyDescent="0.35">
      <c r="A654">
        <v>2844.94</v>
      </c>
      <c r="B654">
        <v>17476.060000000001</v>
      </c>
      <c r="C654">
        <v>14515</v>
      </c>
      <c r="D654">
        <v>2961.0600000000013</v>
      </c>
      <c r="E654" s="1">
        <v>41699</v>
      </c>
      <c r="F654">
        <v>3</v>
      </c>
      <c r="G654" s="2" t="s">
        <v>13</v>
      </c>
      <c r="H654">
        <v>2014</v>
      </c>
      <c r="I654">
        <v>17359.939999999999</v>
      </c>
      <c r="J654">
        <v>0</v>
      </c>
      <c r="K654">
        <f t="shared" si="58"/>
        <v>-0.64311301547747646</v>
      </c>
      <c r="L654" t="str">
        <f t="shared" si="59"/>
        <v>Normal</v>
      </c>
      <c r="M654">
        <f t="shared" si="60"/>
        <v>0</v>
      </c>
      <c r="N654" s="2" t="str">
        <f t="shared" si="61"/>
        <v>Normal</v>
      </c>
      <c r="O654" s="2">
        <f t="shared" si="62"/>
        <v>0</v>
      </c>
      <c r="P654" s="2" t="str">
        <f t="shared" si="63"/>
        <v>Normal</v>
      </c>
    </row>
    <row r="655" spans="1:16" x14ac:dyDescent="0.35">
      <c r="A655">
        <v>106722</v>
      </c>
      <c r="B655">
        <v>655578</v>
      </c>
      <c r="C655">
        <v>635250</v>
      </c>
      <c r="D655">
        <v>20328</v>
      </c>
      <c r="E655" s="1">
        <v>41852</v>
      </c>
      <c r="F655">
        <v>8</v>
      </c>
      <c r="G655" s="2" t="s">
        <v>15</v>
      </c>
      <c r="H655">
        <v>2014</v>
      </c>
      <c r="I655">
        <v>741972</v>
      </c>
      <c r="J655">
        <v>0</v>
      </c>
      <c r="K655">
        <f t="shared" si="58"/>
        <v>2.0543400748151068</v>
      </c>
      <c r="L655" t="str">
        <f t="shared" si="59"/>
        <v>Normal</v>
      </c>
      <c r="M655">
        <f t="shared" si="60"/>
        <v>0</v>
      </c>
      <c r="N655" s="2" t="str">
        <f t="shared" si="61"/>
        <v>Normal</v>
      </c>
      <c r="O655" s="2">
        <f t="shared" si="62"/>
        <v>0</v>
      </c>
      <c r="P655" s="2" t="str">
        <f t="shared" si="63"/>
        <v>Normal</v>
      </c>
    </row>
    <row r="656" spans="1:16" x14ac:dyDescent="0.35">
      <c r="A656">
        <v>11298</v>
      </c>
      <c r="B656">
        <v>69402</v>
      </c>
      <c r="C656">
        <v>67250</v>
      </c>
      <c r="D656">
        <v>2152</v>
      </c>
      <c r="E656" s="1">
        <v>41548</v>
      </c>
      <c r="F656">
        <v>10</v>
      </c>
      <c r="G656" s="2" t="s">
        <v>17</v>
      </c>
      <c r="H656">
        <v>2013</v>
      </c>
      <c r="I656">
        <v>78548</v>
      </c>
      <c r="J656">
        <v>0</v>
      </c>
      <c r="K656">
        <f t="shared" si="58"/>
        <v>-0.42360610202200683</v>
      </c>
      <c r="L656" t="str">
        <f t="shared" si="59"/>
        <v>Normal</v>
      </c>
      <c r="M656">
        <f t="shared" si="60"/>
        <v>0</v>
      </c>
      <c r="N656" s="2" t="str">
        <f t="shared" si="61"/>
        <v>Normal</v>
      </c>
      <c r="O656" s="2">
        <f t="shared" si="62"/>
        <v>0</v>
      </c>
      <c r="P656" s="2" t="str">
        <f t="shared" si="63"/>
        <v>Normal</v>
      </c>
    </row>
    <row r="657" spans="1:16" x14ac:dyDescent="0.35">
      <c r="A657">
        <v>62832</v>
      </c>
      <c r="B657">
        <v>385968</v>
      </c>
      <c r="C657">
        <v>374000</v>
      </c>
      <c r="D657">
        <v>11968</v>
      </c>
      <c r="E657" s="1">
        <v>41913</v>
      </c>
      <c r="F657">
        <v>10</v>
      </c>
      <c r="G657" s="2" t="s">
        <v>17</v>
      </c>
      <c r="H657">
        <v>2014</v>
      </c>
      <c r="I657">
        <v>436832</v>
      </c>
      <c r="J657">
        <v>0</v>
      </c>
      <c r="K657">
        <f t="shared" si="58"/>
        <v>0.914615710908952</v>
      </c>
      <c r="L657" t="str">
        <f t="shared" si="59"/>
        <v>Normal</v>
      </c>
      <c r="M657">
        <f t="shared" si="60"/>
        <v>0</v>
      </c>
      <c r="N657" s="2" t="str">
        <f t="shared" si="61"/>
        <v>Normal</v>
      </c>
      <c r="O657" s="2">
        <f t="shared" si="62"/>
        <v>0</v>
      </c>
      <c r="P657" s="2" t="str">
        <f t="shared" si="63"/>
        <v>Normal</v>
      </c>
    </row>
    <row r="658" spans="1:16" x14ac:dyDescent="0.35">
      <c r="A658">
        <v>42420</v>
      </c>
      <c r="B658">
        <v>260580</v>
      </c>
      <c r="C658">
        <v>252500</v>
      </c>
      <c r="D658">
        <v>8080</v>
      </c>
      <c r="E658" s="1">
        <v>41913</v>
      </c>
      <c r="F658">
        <v>10</v>
      </c>
      <c r="G658" s="2" t="s">
        <v>17</v>
      </c>
      <c r="H658">
        <v>2014</v>
      </c>
      <c r="I658">
        <v>294920</v>
      </c>
      <c r="J658">
        <v>0</v>
      </c>
      <c r="K658">
        <f t="shared" si="58"/>
        <v>0.38456208329326658</v>
      </c>
      <c r="L658" t="str">
        <f t="shared" si="59"/>
        <v>Normal</v>
      </c>
      <c r="M658">
        <f t="shared" si="60"/>
        <v>0</v>
      </c>
      <c r="N658" s="2" t="str">
        <f t="shared" si="61"/>
        <v>Normal</v>
      </c>
      <c r="O658" s="2">
        <f t="shared" si="62"/>
        <v>0</v>
      </c>
      <c r="P658" s="2" t="str">
        <f t="shared" si="63"/>
        <v>Normal</v>
      </c>
    </row>
    <row r="659" spans="1:16" x14ac:dyDescent="0.35">
      <c r="A659">
        <v>62769</v>
      </c>
      <c r="B659">
        <v>385581</v>
      </c>
      <c r="C659">
        <v>333060</v>
      </c>
      <c r="D659">
        <v>52521</v>
      </c>
      <c r="E659" s="1">
        <v>41609</v>
      </c>
      <c r="F659">
        <v>12</v>
      </c>
      <c r="G659" s="2" t="s">
        <v>12</v>
      </c>
      <c r="H659">
        <v>2013</v>
      </c>
      <c r="I659">
        <v>395829</v>
      </c>
      <c r="J659">
        <v>0</v>
      </c>
      <c r="K659">
        <f t="shared" si="58"/>
        <v>0.91297974292248385</v>
      </c>
      <c r="L659" t="str">
        <f t="shared" si="59"/>
        <v>Normal</v>
      </c>
      <c r="M659">
        <f t="shared" si="60"/>
        <v>0</v>
      </c>
      <c r="N659" s="2" t="str">
        <f t="shared" si="61"/>
        <v>Normal</v>
      </c>
      <c r="O659" s="2">
        <f t="shared" si="62"/>
        <v>0</v>
      </c>
      <c r="P659" s="2" t="str">
        <f t="shared" si="63"/>
        <v>Normal</v>
      </c>
    </row>
    <row r="660" spans="1:16" x14ac:dyDescent="0.35">
      <c r="A660">
        <v>37296</v>
      </c>
      <c r="B660">
        <v>229104</v>
      </c>
      <c r="C660">
        <v>222000</v>
      </c>
      <c r="D660">
        <v>7104</v>
      </c>
      <c r="E660" s="1">
        <v>41699</v>
      </c>
      <c r="F660">
        <v>3</v>
      </c>
      <c r="G660" s="2" t="s">
        <v>13</v>
      </c>
      <c r="H660">
        <v>2014</v>
      </c>
      <c r="I660">
        <v>259296</v>
      </c>
      <c r="J660">
        <v>0</v>
      </c>
      <c r="K660">
        <f t="shared" si="58"/>
        <v>0.25150335372718918</v>
      </c>
      <c r="L660" t="str">
        <f t="shared" si="59"/>
        <v>Normal</v>
      </c>
      <c r="M660">
        <f t="shared" si="60"/>
        <v>0</v>
      </c>
      <c r="N660" s="2" t="str">
        <f t="shared" si="61"/>
        <v>Normal</v>
      </c>
      <c r="O660" s="2">
        <f t="shared" si="62"/>
        <v>0</v>
      </c>
      <c r="P660" s="2" t="str">
        <f t="shared" si="63"/>
        <v>Normal</v>
      </c>
    </row>
    <row r="661" spans="1:16" x14ac:dyDescent="0.35">
      <c r="A661">
        <v>49770</v>
      </c>
      <c r="B661">
        <v>305730</v>
      </c>
      <c r="C661">
        <v>341280</v>
      </c>
      <c r="D661">
        <v>-35550</v>
      </c>
      <c r="E661" s="1">
        <v>41760</v>
      </c>
      <c r="F661">
        <v>5</v>
      </c>
      <c r="G661" s="2" t="s">
        <v>21</v>
      </c>
      <c r="H661">
        <v>2014</v>
      </c>
      <c r="I661">
        <v>391050</v>
      </c>
      <c r="J661">
        <v>0</v>
      </c>
      <c r="K661">
        <f t="shared" si="58"/>
        <v>0.57542501504788579</v>
      </c>
      <c r="L661" t="str">
        <f t="shared" si="59"/>
        <v>Normal</v>
      </c>
      <c r="M661">
        <f t="shared" si="60"/>
        <v>0</v>
      </c>
      <c r="N661" s="2" t="str">
        <f t="shared" si="61"/>
        <v>Normal</v>
      </c>
      <c r="O661" s="2">
        <f t="shared" si="62"/>
        <v>0</v>
      </c>
      <c r="P661" s="2" t="str">
        <f t="shared" si="63"/>
        <v>Normal</v>
      </c>
    </row>
    <row r="662" spans="1:16" x14ac:dyDescent="0.35">
      <c r="A662">
        <v>4158</v>
      </c>
      <c r="B662">
        <v>25542</v>
      </c>
      <c r="C662">
        <v>7425</v>
      </c>
      <c r="D662">
        <v>18117</v>
      </c>
      <c r="E662" s="1">
        <v>41852</v>
      </c>
      <c r="F662">
        <v>8</v>
      </c>
      <c r="G662" s="2" t="s">
        <v>15</v>
      </c>
      <c r="H662">
        <v>2014</v>
      </c>
      <c r="I662">
        <v>11583</v>
      </c>
      <c r="J662">
        <v>0</v>
      </c>
      <c r="K662">
        <f t="shared" si="58"/>
        <v>-0.60901580715506543</v>
      </c>
      <c r="L662" t="str">
        <f t="shared" si="59"/>
        <v>Normal</v>
      </c>
      <c r="M662">
        <f t="shared" si="60"/>
        <v>0</v>
      </c>
      <c r="N662" s="2" t="str">
        <f t="shared" si="61"/>
        <v>Normal</v>
      </c>
      <c r="O662" s="2">
        <f t="shared" si="62"/>
        <v>0</v>
      </c>
      <c r="P662" s="2" t="str">
        <f t="shared" si="63"/>
        <v>Normal</v>
      </c>
    </row>
    <row r="663" spans="1:16" x14ac:dyDescent="0.35">
      <c r="A663">
        <v>3660.3</v>
      </c>
      <c r="B663">
        <v>22484.7</v>
      </c>
      <c r="C663">
        <v>17430</v>
      </c>
      <c r="D663">
        <v>5054.7000000000007</v>
      </c>
      <c r="E663" s="1">
        <v>41548</v>
      </c>
      <c r="F663">
        <v>10</v>
      </c>
      <c r="G663" s="2" t="s">
        <v>17</v>
      </c>
      <c r="H663">
        <v>2013</v>
      </c>
      <c r="I663">
        <v>21090.3</v>
      </c>
      <c r="J663">
        <v>0</v>
      </c>
      <c r="K663">
        <f t="shared" si="58"/>
        <v>-0.62193995424816395</v>
      </c>
      <c r="L663" t="str">
        <f t="shared" si="59"/>
        <v>Normal</v>
      </c>
      <c r="M663">
        <f t="shared" si="60"/>
        <v>0</v>
      </c>
      <c r="N663" s="2" t="str">
        <f t="shared" si="61"/>
        <v>Normal</v>
      </c>
      <c r="O663" s="2">
        <f t="shared" si="62"/>
        <v>0</v>
      </c>
      <c r="P663" s="2" t="str">
        <f t="shared" si="63"/>
        <v>Normal</v>
      </c>
    </row>
    <row r="664" spans="1:16" x14ac:dyDescent="0.35">
      <c r="A664">
        <v>4895.5200000000004</v>
      </c>
      <c r="B664">
        <v>30072.48</v>
      </c>
      <c r="C664">
        <v>8742</v>
      </c>
      <c r="D664">
        <v>21330.48</v>
      </c>
      <c r="E664" s="1">
        <v>41913</v>
      </c>
      <c r="F664">
        <v>10</v>
      </c>
      <c r="G664" s="2" t="s">
        <v>17</v>
      </c>
      <c r="H664">
        <v>2014</v>
      </c>
      <c r="I664">
        <v>13637.52</v>
      </c>
      <c r="J664">
        <v>0</v>
      </c>
      <c r="K664">
        <f t="shared" si="58"/>
        <v>-0.58986407526014484</v>
      </c>
      <c r="L664" t="str">
        <f t="shared" si="59"/>
        <v>Normal</v>
      </c>
      <c r="M664">
        <f t="shared" si="60"/>
        <v>0</v>
      </c>
      <c r="N664" s="2" t="str">
        <f t="shared" si="61"/>
        <v>Normal</v>
      </c>
      <c r="O664" s="2">
        <f t="shared" si="62"/>
        <v>0</v>
      </c>
      <c r="P664" s="2" t="str">
        <f t="shared" si="63"/>
        <v>Normal</v>
      </c>
    </row>
    <row r="665" spans="1:16" x14ac:dyDescent="0.35">
      <c r="A665">
        <v>1696.38</v>
      </c>
      <c r="B665">
        <v>10420.619999999999</v>
      </c>
      <c r="C665">
        <v>8655</v>
      </c>
      <c r="D665">
        <v>1765.619999999999</v>
      </c>
      <c r="E665" s="1">
        <v>41913</v>
      </c>
      <c r="F665">
        <v>10</v>
      </c>
      <c r="G665" s="2" t="s">
        <v>17</v>
      </c>
      <c r="H665">
        <v>2014</v>
      </c>
      <c r="I665">
        <v>10351.380000000001</v>
      </c>
      <c r="J665">
        <v>0</v>
      </c>
      <c r="K665">
        <f t="shared" si="58"/>
        <v>-0.67293852961299827</v>
      </c>
      <c r="L665" t="str">
        <f t="shared" si="59"/>
        <v>Normal</v>
      </c>
      <c r="M665">
        <f t="shared" si="60"/>
        <v>0</v>
      </c>
      <c r="N665" s="2" t="str">
        <f t="shared" si="61"/>
        <v>Normal</v>
      </c>
      <c r="O665" s="2">
        <f t="shared" si="62"/>
        <v>0</v>
      </c>
      <c r="P665" s="2" t="str">
        <f t="shared" si="63"/>
        <v>Normal</v>
      </c>
    </row>
    <row r="666" spans="1:16" x14ac:dyDescent="0.35">
      <c r="A666">
        <v>1692.46</v>
      </c>
      <c r="B666">
        <v>10396.540000000001</v>
      </c>
      <c r="C666">
        <v>8635</v>
      </c>
      <c r="D666">
        <v>1761.5400000000009</v>
      </c>
      <c r="E666" s="1">
        <v>41548</v>
      </c>
      <c r="F666">
        <v>10</v>
      </c>
      <c r="G666" s="2" t="s">
        <v>17</v>
      </c>
      <c r="H666">
        <v>2013</v>
      </c>
      <c r="I666">
        <v>10327.459999999999</v>
      </c>
      <c r="J666">
        <v>0</v>
      </c>
      <c r="K666">
        <f t="shared" si="58"/>
        <v>-0.67304032317660067</v>
      </c>
      <c r="L666" t="str">
        <f t="shared" si="59"/>
        <v>Normal</v>
      </c>
      <c r="M666">
        <f t="shared" si="60"/>
        <v>0</v>
      </c>
      <c r="N666" s="2" t="str">
        <f t="shared" si="61"/>
        <v>Normal</v>
      </c>
      <c r="O666" s="2">
        <f t="shared" si="62"/>
        <v>0</v>
      </c>
      <c r="P666" s="2" t="str">
        <f t="shared" si="63"/>
        <v>Normal</v>
      </c>
    </row>
    <row r="667" spans="1:16" x14ac:dyDescent="0.35">
      <c r="A667">
        <v>3927</v>
      </c>
      <c r="B667">
        <v>24123</v>
      </c>
      <c r="C667">
        <v>18700</v>
      </c>
      <c r="D667">
        <v>5423</v>
      </c>
      <c r="E667" s="1">
        <v>41579</v>
      </c>
      <c r="F667">
        <v>11</v>
      </c>
      <c r="G667" s="2" t="s">
        <v>19</v>
      </c>
      <c r="H667">
        <v>2013</v>
      </c>
      <c r="I667">
        <v>22627</v>
      </c>
      <c r="J667">
        <v>0</v>
      </c>
      <c r="K667">
        <f t="shared" si="58"/>
        <v>-0.61501435643878211</v>
      </c>
      <c r="L667" t="str">
        <f t="shared" si="59"/>
        <v>Normal</v>
      </c>
      <c r="M667">
        <f t="shared" si="60"/>
        <v>0</v>
      </c>
      <c r="N667" s="2" t="str">
        <f t="shared" si="61"/>
        <v>Normal</v>
      </c>
      <c r="O667" s="2">
        <f t="shared" si="62"/>
        <v>0</v>
      </c>
      <c r="P667" s="2" t="str">
        <f t="shared" si="63"/>
        <v>Normal</v>
      </c>
    </row>
    <row r="668" spans="1:16" x14ac:dyDescent="0.35">
      <c r="A668">
        <v>22012.5</v>
      </c>
      <c r="B668">
        <v>124737.5</v>
      </c>
      <c r="C668">
        <v>140880</v>
      </c>
      <c r="D668">
        <v>-16142.5</v>
      </c>
      <c r="E668" s="1">
        <v>41852</v>
      </c>
      <c r="F668">
        <v>8</v>
      </c>
      <c r="G668" s="2" t="s">
        <v>15</v>
      </c>
      <c r="H668">
        <v>2014</v>
      </c>
      <c r="I668">
        <v>162892.5</v>
      </c>
      <c r="J668">
        <v>0</v>
      </c>
      <c r="K668">
        <f t="shared" si="58"/>
        <v>-0.18968593014808141</v>
      </c>
      <c r="L668" t="str">
        <f t="shared" si="59"/>
        <v>Normal</v>
      </c>
      <c r="M668">
        <f t="shared" si="60"/>
        <v>0</v>
      </c>
      <c r="N668" s="2" t="str">
        <f t="shared" si="61"/>
        <v>Normal</v>
      </c>
      <c r="O668" s="2">
        <f t="shared" si="62"/>
        <v>0</v>
      </c>
      <c r="P668" s="2" t="str">
        <f t="shared" si="63"/>
        <v>Normal</v>
      </c>
    </row>
    <row r="669" spans="1:16" x14ac:dyDescent="0.35">
      <c r="A669">
        <v>51881.25</v>
      </c>
      <c r="B669">
        <v>293993.75</v>
      </c>
      <c r="C669">
        <v>332040</v>
      </c>
      <c r="D669">
        <v>-38046.25</v>
      </c>
      <c r="E669" s="1">
        <v>41852</v>
      </c>
      <c r="F669">
        <v>8</v>
      </c>
      <c r="G669" s="2" t="s">
        <v>15</v>
      </c>
      <c r="H669">
        <v>2014</v>
      </c>
      <c r="I669">
        <v>383921.25</v>
      </c>
      <c r="J669">
        <v>0</v>
      </c>
      <c r="K669">
        <f t="shared" si="58"/>
        <v>0.52581227788719587</v>
      </c>
      <c r="L669" t="str">
        <f t="shared" si="59"/>
        <v>Normal</v>
      </c>
      <c r="M669">
        <f t="shared" si="60"/>
        <v>0</v>
      </c>
      <c r="N669" s="2" t="str">
        <f t="shared" si="61"/>
        <v>Normal</v>
      </c>
      <c r="O669" s="2">
        <f t="shared" si="62"/>
        <v>0</v>
      </c>
      <c r="P669" s="2" t="str">
        <f t="shared" si="63"/>
        <v>Normal</v>
      </c>
    </row>
    <row r="670" spans="1:16" x14ac:dyDescent="0.35">
      <c r="A670">
        <v>20343.75</v>
      </c>
      <c r="B670">
        <v>115281.25</v>
      </c>
      <c r="C670">
        <v>130200</v>
      </c>
      <c r="D670">
        <v>-14918.75</v>
      </c>
      <c r="E670" s="1">
        <v>41913</v>
      </c>
      <c r="F670">
        <v>10</v>
      </c>
      <c r="G670" s="2" t="s">
        <v>17</v>
      </c>
      <c r="H670">
        <v>2014</v>
      </c>
      <c r="I670">
        <v>150543.75</v>
      </c>
      <c r="J670">
        <v>0</v>
      </c>
      <c r="K670">
        <f t="shared" si="58"/>
        <v>-0.22966040630322243</v>
      </c>
      <c r="L670" t="str">
        <f t="shared" si="59"/>
        <v>Normal</v>
      </c>
      <c r="M670">
        <f t="shared" si="60"/>
        <v>0</v>
      </c>
      <c r="N670" s="2" t="str">
        <f t="shared" si="61"/>
        <v>Normal</v>
      </c>
      <c r="O670" s="2">
        <f t="shared" si="62"/>
        <v>0</v>
      </c>
      <c r="P670" s="2" t="str">
        <f t="shared" si="63"/>
        <v>Normal</v>
      </c>
    </row>
    <row r="671" spans="1:16" x14ac:dyDescent="0.35">
      <c r="A671">
        <v>24570</v>
      </c>
      <c r="B671">
        <v>139230</v>
      </c>
      <c r="C671">
        <v>136500</v>
      </c>
      <c r="D671">
        <v>2730</v>
      </c>
      <c r="E671" s="1">
        <v>41913</v>
      </c>
      <c r="F671">
        <v>10</v>
      </c>
      <c r="G671" s="2" t="s">
        <v>17</v>
      </c>
      <c r="H671">
        <v>2014</v>
      </c>
      <c r="I671">
        <v>161070</v>
      </c>
      <c r="J671">
        <v>0</v>
      </c>
      <c r="K671">
        <f t="shared" si="58"/>
        <v>-0.12842167680469671</v>
      </c>
      <c r="L671" t="str">
        <f t="shared" si="59"/>
        <v>Normal</v>
      </c>
      <c r="M671">
        <f t="shared" si="60"/>
        <v>0</v>
      </c>
      <c r="N671" s="2" t="str">
        <f t="shared" si="61"/>
        <v>Normal</v>
      </c>
      <c r="O671" s="2">
        <f t="shared" si="62"/>
        <v>0</v>
      </c>
      <c r="P671" s="2" t="str">
        <f t="shared" si="63"/>
        <v>Normal</v>
      </c>
    </row>
    <row r="672" spans="1:16" x14ac:dyDescent="0.35">
      <c r="A672">
        <v>3474</v>
      </c>
      <c r="B672">
        <v>19686</v>
      </c>
      <c r="C672">
        <v>11580</v>
      </c>
      <c r="D672">
        <v>8106</v>
      </c>
      <c r="E672" s="1">
        <v>41699</v>
      </c>
      <c r="F672">
        <v>3</v>
      </c>
      <c r="G672" s="2" t="s">
        <v>13</v>
      </c>
      <c r="H672">
        <v>2014</v>
      </c>
      <c r="I672">
        <v>15054</v>
      </c>
      <c r="J672">
        <v>0</v>
      </c>
      <c r="K672">
        <f t="shared" si="58"/>
        <v>-0.63377091963247523</v>
      </c>
      <c r="L672" t="str">
        <f t="shared" si="59"/>
        <v>Normal</v>
      </c>
      <c r="M672">
        <f t="shared" si="60"/>
        <v>0</v>
      </c>
      <c r="N672" s="2" t="str">
        <f t="shared" si="61"/>
        <v>Normal</v>
      </c>
      <c r="O672" s="2">
        <f t="shared" si="62"/>
        <v>0</v>
      </c>
      <c r="P672" s="2" t="str">
        <f t="shared" si="63"/>
        <v>Normal</v>
      </c>
    </row>
    <row r="673" spans="1:16" x14ac:dyDescent="0.35">
      <c r="A673">
        <v>3631.5</v>
      </c>
      <c r="B673">
        <v>20578.5</v>
      </c>
      <c r="C673">
        <v>16140</v>
      </c>
      <c r="D673">
        <v>4438.5</v>
      </c>
      <c r="E673" s="1">
        <v>41730</v>
      </c>
      <c r="F673">
        <v>4</v>
      </c>
      <c r="G673" s="2" t="s">
        <v>20</v>
      </c>
      <c r="H673">
        <v>2014</v>
      </c>
      <c r="I673">
        <v>19771.5</v>
      </c>
      <c r="J673">
        <v>0</v>
      </c>
      <c r="K673">
        <f t="shared" si="58"/>
        <v>-0.6299980477256979</v>
      </c>
      <c r="L673" t="str">
        <f t="shared" si="59"/>
        <v>Normal</v>
      </c>
      <c r="M673">
        <f t="shared" si="60"/>
        <v>0</v>
      </c>
      <c r="N673" s="2" t="str">
        <f t="shared" si="61"/>
        <v>Normal</v>
      </c>
      <c r="O673" s="2">
        <f t="shared" si="62"/>
        <v>0</v>
      </c>
      <c r="P673" s="2" t="str">
        <f t="shared" si="63"/>
        <v>Normal</v>
      </c>
    </row>
    <row r="674" spans="1:16" x14ac:dyDescent="0.35">
      <c r="A674">
        <v>2661.75</v>
      </c>
      <c r="B674">
        <v>15083.25</v>
      </c>
      <c r="C674">
        <v>12675</v>
      </c>
      <c r="D674">
        <v>2408.25</v>
      </c>
      <c r="E674" s="1">
        <v>41730</v>
      </c>
      <c r="F674">
        <v>4</v>
      </c>
      <c r="G674" s="2" t="s">
        <v>20</v>
      </c>
      <c r="H674">
        <v>2014</v>
      </c>
      <c r="I674">
        <v>15336.75</v>
      </c>
      <c r="J674">
        <v>0</v>
      </c>
      <c r="K674">
        <f t="shared" si="58"/>
        <v>-0.65322815903742704</v>
      </c>
      <c r="L674" t="str">
        <f t="shared" si="59"/>
        <v>Normal</v>
      </c>
      <c r="M674">
        <f t="shared" si="60"/>
        <v>0</v>
      </c>
      <c r="N674" s="2" t="str">
        <f t="shared" si="61"/>
        <v>Normal</v>
      </c>
      <c r="O674" s="2">
        <f t="shared" si="62"/>
        <v>0</v>
      </c>
      <c r="P674" s="2" t="str">
        <f t="shared" si="63"/>
        <v>Normal</v>
      </c>
    </row>
    <row r="675" spans="1:16" x14ac:dyDescent="0.35">
      <c r="A675">
        <v>149677.5</v>
      </c>
      <c r="B675">
        <v>848172.5</v>
      </c>
      <c r="C675">
        <v>741260</v>
      </c>
      <c r="D675">
        <v>106912.5</v>
      </c>
      <c r="E675" s="1">
        <v>41760</v>
      </c>
      <c r="F675">
        <v>5</v>
      </c>
      <c r="G675" s="2" t="s">
        <v>21</v>
      </c>
      <c r="H675">
        <v>2014</v>
      </c>
      <c r="I675">
        <v>890937.5</v>
      </c>
      <c r="J675">
        <v>0</v>
      </c>
      <c r="K675">
        <f t="shared" si="58"/>
        <v>2.8684962411454502</v>
      </c>
      <c r="L675" t="str">
        <f t="shared" si="59"/>
        <v>Normal</v>
      </c>
      <c r="M675">
        <f t="shared" si="60"/>
        <v>0</v>
      </c>
      <c r="N675" s="2" t="str">
        <f t="shared" si="61"/>
        <v>Normal</v>
      </c>
      <c r="O675" s="2">
        <f t="shared" si="62"/>
        <v>0</v>
      </c>
      <c r="P675" s="2" t="str">
        <f t="shared" si="63"/>
        <v>Normal</v>
      </c>
    </row>
    <row r="676" spans="1:16" x14ac:dyDescent="0.35">
      <c r="A676">
        <v>5757.75</v>
      </c>
      <c r="B676">
        <v>32627.25</v>
      </c>
      <c r="C676">
        <v>25590</v>
      </c>
      <c r="D676">
        <v>7037.25</v>
      </c>
      <c r="E676" s="1">
        <v>41852</v>
      </c>
      <c r="F676">
        <v>8</v>
      </c>
      <c r="G676" s="2" t="s">
        <v>15</v>
      </c>
      <c r="H676">
        <v>2014</v>
      </c>
      <c r="I676">
        <v>31347.75</v>
      </c>
      <c r="J676">
        <v>0</v>
      </c>
      <c r="K676">
        <f t="shared" si="58"/>
        <v>-0.5790642769842036</v>
      </c>
      <c r="L676" t="str">
        <f t="shared" si="59"/>
        <v>Normal</v>
      </c>
      <c r="M676">
        <f t="shared" si="60"/>
        <v>0</v>
      </c>
      <c r="N676" s="2" t="str">
        <f t="shared" si="61"/>
        <v>Normal</v>
      </c>
      <c r="O676" s="2">
        <f t="shared" si="62"/>
        <v>0</v>
      </c>
      <c r="P676" s="2" t="str">
        <f t="shared" si="63"/>
        <v>Normal</v>
      </c>
    </row>
    <row r="677" spans="1:16" x14ac:dyDescent="0.35">
      <c r="A677">
        <v>801</v>
      </c>
      <c r="B677">
        <v>4539</v>
      </c>
      <c r="C677">
        <v>2670</v>
      </c>
      <c r="D677">
        <v>1869</v>
      </c>
      <c r="E677" s="1">
        <v>41548</v>
      </c>
      <c r="F677">
        <v>10</v>
      </c>
      <c r="G677" s="2" t="s">
        <v>17</v>
      </c>
      <c r="H677">
        <v>2013</v>
      </c>
      <c r="I677">
        <v>3471</v>
      </c>
      <c r="J677">
        <v>0</v>
      </c>
      <c r="K677">
        <f t="shared" si="58"/>
        <v>-0.69780194570749665</v>
      </c>
      <c r="L677" t="str">
        <f t="shared" si="59"/>
        <v>Normal</v>
      </c>
      <c r="M677">
        <f t="shared" si="60"/>
        <v>0</v>
      </c>
      <c r="N677" s="2" t="str">
        <f t="shared" si="61"/>
        <v>Normal</v>
      </c>
      <c r="O677" s="2">
        <f t="shared" si="62"/>
        <v>0</v>
      </c>
      <c r="P677" s="2" t="str">
        <f t="shared" si="63"/>
        <v>Normal</v>
      </c>
    </row>
    <row r="678" spans="1:16" x14ac:dyDescent="0.35">
      <c r="A678">
        <v>20343.75</v>
      </c>
      <c r="B678">
        <v>115281.25</v>
      </c>
      <c r="C678">
        <v>130200</v>
      </c>
      <c r="D678">
        <v>-14918.75</v>
      </c>
      <c r="E678" s="1">
        <v>41913</v>
      </c>
      <c r="F678">
        <v>10</v>
      </c>
      <c r="G678" s="2" t="s">
        <v>17</v>
      </c>
      <c r="H678">
        <v>2014</v>
      </c>
      <c r="I678">
        <v>150543.75</v>
      </c>
      <c r="J678">
        <v>0</v>
      </c>
      <c r="K678">
        <f t="shared" si="58"/>
        <v>-0.22966040630322243</v>
      </c>
      <c r="L678" t="str">
        <f t="shared" si="59"/>
        <v>Normal</v>
      </c>
      <c r="M678">
        <f t="shared" si="60"/>
        <v>0</v>
      </c>
      <c r="N678" s="2" t="str">
        <f t="shared" si="61"/>
        <v>Normal</v>
      </c>
      <c r="O678" s="2">
        <f t="shared" si="62"/>
        <v>0</v>
      </c>
      <c r="P678" s="2" t="str">
        <f t="shared" si="63"/>
        <v>Normal</v>
      </c>
    </row>
    <row r="679" spans="1:16" x14ac:dyDescent="0.35">
      <c r="A679">
        <v>2643.75</v>
      </c>
      <c r="B679">
        <v>14981.25</v>
      </c>
      <c r="C679">
        <v>11750</v>
      </c>
      <c r="D679">
        <v>3231.25</v>
      </c>
      <c r="E679" s="1">
        <v>41913</v>
      </c>
      <c r="F679">
        <v>10</v>
      </c>
      <c r="G679" s="2" t="s">
        <v>17</v>
      </c>
      <c r="H679">
        <v>2014</v>
      </c>
      <c r="I679">
        <v>14393.75</v>
      </c>
      <c r="J679">
        <v>0</v>
      </c>
      <c r="K679">
        <f t="shared" si="58"/>
        <v>-0.65365934439820161</v>
      </c>
      <c r="L679" t="str">
        <f t="shared" si="59"/>
        <v>Normal</v>
      </c>
      <c r="M679">
        <f t="shared" si="60"/>
        <v>0</v>
      </c>
      <c r="N679" s="2" t="str">
        <f t="shared" si="61"/>
        <v>Normal</v>
      </c>
      <c r="O679" s="2">
        <f t="shared" si="62"/>
        <v>0</v>
      </c>
      <c r="P679" s="2" t="str">
        <f t="shared" si="63"/>
        <v>Normal</v>
      </c>
    </row>
    <row r="680" spans="1:16" x14ac:dyDescent="0.35">
      <c r="A680">
        <v>105367.5</v>
      </c>
      <c r="B680">
        <v>597082.5</v>
      </c>
      <c r="C680">
        <v>521820</v>
      </c>
      <c r="D680">
        <v>75262.5</v>
      </c>
      <c r="E680" s="1">
        <v>41579</v>
      </c>
      <c r="F680">
        <v>11</v>
      </c>
      <c r="G680" s="2" t="s">
        <v>19</v>
      </c>
      <c r="H680">
        <v>2013</v>
      </c>
      <c r="I680">
        <v>627187.5</v>
      </c>
      <c r="J680">
        <v>0</v>
      </c>
      <c r="K680">
        <f t="shared" si="58"/>
        <v>1.8070616113720872</v>
      </c>
      <c r="L680" t="str">
        <f t="shared" si="59"/>
        <v>Normal</v>
      </c>
      <c r="M680">
        <f t="shared" si="60"/>
        <v>0</v>
      </c>
      <c r="N680" s="2" t="str">
        <f t="shared" si="61"/>
        <v>Normal</v>
      </c>
      <c r="O680" s="2">
        <f t="shared" si="62"/>
        <v>0</v>
      </c>
      <c r="P680" s="2" t="str">
        <f t="shared" si="63"/>
        <v>Normal</v>
      </c>
    </row>
    <row r="681" spans="1:16" x14ac:dyDescent="0.35">
      <c r="A681">
        <v>112927.5</v>
      </c>
      <c r="B681">
        <v>639922.5</v>
      </c>
      <c r="C681">
        <v>559260</v>
      </c>
      <c r="D681">
        <v>80662.5</v>
      </c>
      <c r="E681" s="1">
        <v>41579</v>
      </c>
      <c r="F681">
        <v>11</v>
      </c>
      <c r="G681" s="2" t="s">
        <v>19</v>
      </c>
      <c r="H681">
        <v>2013</v>
      </c>
      <c r="I681">
        <v>672187.5</v>
      </c>
      <c r="J681">
        <v>0</v>
      </c>
      <c r="K681">
        <f t="shared" si="58"/>
        <v>1.9881594628974002</v>
      </c>
      <c r="L681" t="str">
        <f t="shared" si="59"/>
        <v>Normal</v>
      </c>
      <c r="M681">
        <f t="shared" si="60"/>
        <v>0</v>
      </c>
      <c r="N681" s="2" t="str">
        <f t="shared" si="61"/>
        <v>Normal</v>
      </c>
      <c r="O681" s="2">
        <f t="shared" si="62"/>
        <v>0</v>
      </c>
      <c r="P681" s="2" t="str">
        <f t="shared" si="63"/>
        <v>Normal</v>
      </c>
    </row>
    <row r="682" spans="1:16" x14ac:dyDescent="0.35">
      <c r="A682">
        <v>1645.2</v>
      </c>
      <c r="B682">
        <v>9322.7999999999993</v>
      </c>
      <c r="C682">
        <v>2742</v>
      </c>
      <c r="D682">
        <v>6580.7999999999993</v>
      </c>
      <c r="E682" s="1">
        <v>41974</v>
      </c>
      <c r="F682">
        <v>12</v>
      </c>
      <c r="G682" s="2" t="s">
        <v>12</v>
      </c>
      <c r="H682">
        <v>2014</v>
      </c>
      <c r="I682">
        <v>4387.2</v>
      </c>
      <c r="J682">
        <v>0</v>
      </c>
      <c r="K682">
        <f t="shared" si="58"/>
        <v>-0.67757935228717003</v>
      </c>
      <c r="L682" t="str">
        <f t="shared" si="59"/>
        <v>Normal</v>
      </c>
      <c r="M682">
        <f t="shared" si="60"/>
        <v>0</v>
      </c>
      <c r="N682" s="2" t="str">
        <f t="shared" si="61"/>
        <v>Normal</v>
      </c>
      <c r="O682" s="2">
        <f t="shared" si="62"/>
        <v>0</v>
      </c>
      <c r="P682" s="2" t="str">
        <f t="shared" si="63"/>
        <v>Normal</v>
      </c>
    </row>
    <row r="683" spans="1:16" x14ac:dyDescent="0.35">
      <c r="A683">
        <v>879</v>
      </c>
      <c r="B683">
        <v>4981</v>
      </c>
      <c r="C683">
        <v>2930</v>
      </c>
      <c r="D683">
        <v>2051</v>
      </c>
      <c r="E683" s="1">
        <v>41974</v>
      </c>
      <c r="F683">
        <v>12</v>
      </c>
      <c r="G683" s="2" t="s">
        <v>12</v>
      </c>
      <c r="H683">
        <v>2014</v>
      </c>
      <c r="I683">
        <v>3809</v>
      </c>
      <c r="J683">
        <v>0</v>
      </c>
      <c r="K683">
        <f t="shared" si="58"/>
        <v>-0.69593347581080689</v>
      </c>
      <c r="L683" t="str">
        <f t="shared" si="59"/>
        <v>Normal</v>
      </c>
      <c r="M683">
        <f t="shared" si="60"/>
        <v>0</v>
      </c>
      <c r="N683" s="2" t="str">
        <f t="shared" si="61"/>
        <v>Normal</v>
      </c>
      <c r="O683" s="2">
        <f t="shared" si="62"/>
        <v>0</v>
      </c>
      <c r="P683" s="2" t="str">
        <f t="shared" si="63"/>
        <v>Normal</v>
      </c>
    </row>
    <row r="684" spans="1:16" x14ac:dyDescent="0.35">
      <c r="A684">
        <v>900</v>
      </c>
      <c r="B684">
        <v>5100</v>
      </c>
      <c r="C684">
        <v>1500</v>
      </c>
      <c r="D684">
        <v>3600</v>
      </c>
      <c r="E684" s="1">
        <v>41699</v>
      </c>
      <c r="F684">
        <v>3</v>
      </c>
      <c r="G684" s="2" t="s">
        <v>13</v>
      </c>
      <c r="H684">
        <v>2014</v>
      </c>
      <c r="I684">
        <v>2400</v>
      </c>
      <c r="J684">
        <v>0</v>
      </c>
      <c r="K684">
        <f t="shared" si="58"/>
        <v>-0.69543042622323659</v>
      </c>
      <c r="L684" t="str">
        <f t="shared" si="59"/>
        <v>Normal</v>
      </c>
      <c r="M684">
        <f t="shared" si="60"/>
        <v>0</v>
      </c>
      <c r="N684" s="2" t="str">
        <f t="shared" si="61"/>
        <v>Normal</v>
      </c>
      <c r="O684" s="2">
        <f t="shared" si="62"/>
        <v>0</v>
      </c>
      <c r="P684" s="2" t="str">
        <f t="shared" si="63"/>
        <v>Normal</v>
      </c>
    </row>
    <row r="685" spans="1:16" x14ac:dyDescent="0.35">
      <c r="A685">
        <v>6358.5</v>
      </c>
      <c r="B685">
        <v>36031.5</v>
      </c>
      <c r="C685">
        <v>28260</v>
      </c>
      <c r="D685">
        <v>7771.5</v>
      </c>
      <c r="E685" s="1">
        <v>41760</v>
      </c>
      <c r="F685">
        <v>5</v>
      </c>
      <c r="G685" s="2" t="s">
        <v>21</v>
      </c>
      <c r="H685">
        <v>2014</v>
      </c>
      <c r="I685">
        <v>34618.5</v>
      </c>
      <c r="J685">
        <v>0</v>
      </c>
      <c r="K685">
        <f t="shared" si="58"/>
        <v>-0.56467346556835274</v>
      </c>
      <c r="L685" t="str">
        <f t="shared" si="59"/>
        <v>Normal</v>
      </c>
      <c r="M685">
        <f t="shared" si="60"/>
        <v>0</v>
      </c>
      <c r="N685" s="2" t="str">
        <f t="shared" si="61"/>
        <v>Normal</v>
      </c>
      <c r="O685" s="2">
        <f t="shared" si="62"/>
        <v>0</v>
      </c>
      <c r="P685" s="2" t="str">
        <f t="shared" si="63"/>
        <v>Normal</v>
      </c>
    </row>
    <row r="686" spans="1:16" x14ac:dyDescent="0.35">
      <c r="A686">
        <v>12431.25</v>
      </c>
      <c r="B686">
        <v>70443.75</v>
      </c>
      <c r="C686">
        <v>79560</v>
      </c>
      <c r="D686">
        <v>-9116.25</v>
      </c>
      <c r="E686" s="1">
        <v>41883</v>
      </c>
      <c r="F686">
        <v>9</v>
      </c>
      <c r="G686" s="2" t="s">
        <v>16</v>
      </c>
      <c r="H686">
        <v>2014</v>
      </c>
      <c r="I686">
        <v>91991.25</v>
      </c>
      <c r="J686">
        <v>0</v>
      </c>
      <c r="K686">
        <f t="shared" si="58"/>
        <v>-0.41920230447703727</v>
      </c>
      <c r="L686" t="str">
        <f t="shared" si="59"/>
        <v>Normal</v>
      </c>
      <c r="M686">
        <f t="shared" si="60"/>
        <v>0</v>
      </c>
      <c r="N686" s="2" t="str">
        <f t="shared" si="61"/>
        <v>Normal</v>
      </c>
      <c r="O686" s="2">
        <f t="shared" si="62"/>
        <v>0</v>
      </c>
      <c r="P686" s="2" t="str">
        <f t="shared" si="63"/>
        <v>Normal</v>
      </c>
    </row>
    <row r="687" spans="1:16" x14ac:dyDescent="0.35">
      <c r="A687">
        <v>115830</v>
      </c>
      <c r="B687">
        <v>656370</v>
      </c>
      <c r="C687">
        <v>643500</v>
      </c>
      <c r="D687">
        <v>12870</v>
      </c>
      <c r="E687" s="1">
        <v>41579</v>
      </c>
      <c r="F687">
        <v>11</v>
      </c>
      <c r="G687" s="2" t="s">
        <v>19</v>
      </c>
      <c r="H687">
        <v>2013</v>
      </c>
      <c r="I687">
        <v>759330</v>
      </c>
      <c r="J687">
        <v>0</v>
      </c>
      <c r="K687">
        <f t="shared" si="58"/>
        <v>2.0576881023222975</v>
      </c>
      <c r="L687" t="str">
        <f t="shared" si="59"/>
        <v>Normal</v>
      </c>
      <c r="M687">
        <f t="shared" si="60"/>
        <v>0</v>
      </c>
      <c r="N687" s="2" t="str">
        <f t="shared" si="61"/>
        <v>Normal</v>
      </c>
      <c r="O687" s="2">
        <f t="shared" si="62"/>
        <v>0</v>
      </c>
      <c r="P687" s="2" t="str">
        <f t="shared" si="63"/>
        <v>Normal</v>
      </c>
    </row>
    <row r="688" spans="1:16" x14ac:dyDescent="0.35">
      <c r="A688">
        <v>45712.5</v>
      </c>
      <c r="B688">
        <v>259037.5</v>
      </c>
      <c r="C688">
        <v>292560</v>
      </c>
      <c r="D688">
        <v>-33522.5</v>
      </c>
      <c r="E688" s="1">
        <v>41609</v>
      </c>
      <c r="F688">
        <v>12</v>
      </c>
      <c r="G688" s="2" t="s">
        <v>12</v>
      </c>
      <c r="H688">
        <v>2013</v>
      </c>
      <c r="I688">
        <v>338272.5</v>
      </c>
      <c r="J688">
        <v>0</v>
      </c>
      <c r="K688">
        <f t="shared" si="58"/>
        <v>0.37804146153841611</v>
      </c>
      <c r="L688" t="str">
        <f t="shared" si="59"/>
        <v>Normal</v>
      </c>
      <c r="M688">
        <f t="shared" si="60"/>
        <v>0</v>
      </c>
      <c r="N688" s="2" t="str">
        <f t="shared" si="61"/>
        <v>Normal</v>
      </c>
      <c r="O688" s="2">
        <f t="shared" si="62"/>
        <v>0</v>
      </c>
      <c r="P688" s="2" t="str">
        <f t="shared" si="63"/>
        <v>Normal</v>
      </c>
    </row>
    <row r="689" spans="1:16" x14ac:dyDescent="0.35">
      <c r="A689">
        <v>1645.2</v>
      </c>
      <c r="B689">
        <v>9322.7999999999993</v>
      </c>
      <c r="C689">
        <v>2742</v>
      </c>
      <c r="D689">
        <v>6580.7999999999993</v>
      </c>
      <c r="E689" s="1">
        <v>41974</v>
      </c>
      <c r="F689">
        <v>12</v>
      </c>
      <c r="G689" s="2" t="s">
        <v>12</v>
      </c>
      <c r="H689">
        <v>2014</v>
      </c>
      <c r="I689">
        <v>4387.2</v>
      </c>
      <c r="J689">
        <v>0</v>
      </c>
      <c r="K689">
        <f t="shared" si="58"/>
        <v>-0.67757935228717003</v>
      </c>
      <c r="L689" t="str">
        <f t="shared" si="59"/>
        <v>Normal</v>
      </c>
      <c r="M689">
        <f t="shared" si="60"/>
        <v>0</v>
      </c>
      <c r="N689" s="2" t="str">
        <f t="shared" si="61"/>
        <v>Normal</v>
      </c>
      <c r="O689" s="2">
        <f t="shared" si="62"/>
        <v>0</v>
      </c>
      <c r="P689" s="2" t="str">
        <f t="shared" si="63"/>
        <v>Normal</v>
      </c>
    </row>
    <row r="690" spans="1:16" x14ac:dyDescent="0.35">
      <c r="A690">
        <v>2596.5</v>
      </c>
      <c r="B690">
        <v>14713.5</v>
      </c>
      <c r="C690">
        <v>8655</v>
      </c>
      <c r="D690">
        <v>6058.5</v>
      </c>
      <c r="E690" s="1">
        <v>41821</v>
      </c>
      <c r="F690">
        <v>7</v>
      </c>
      <c r="G690" s="2" t="s">
        <v>14</v>
      </c>
      <c r="H690">
        <v>2014</v>
      </c>
      <c r="I690">
        <v>11251.5</v>
      </c>
      <c r="J690">
        <v>0</v>
      </c>
      <c r="K690">
        <f t="shared" si="58"/>
        <v>-0.65479120597023477</v>
      </c>
      <c r="L690" t="str">
        <f t="shared" si="59"/>
        <v>Normal</v>
      </c>
      <c r="M690">
        <f t="shared" si="60"/>
        <v>0</v>
      </c>
      <c r="N690" s="2" t="str">
        <f t="shared" si="61"/>
        <v>Normal</v>
      </c>
      <c r="O690" s="2">
        <f t="shared" si="62"/>
        <v>0</v>
      </c>
      <c r="P690" s="2" t="str">
        <f t="shared" si="63"/>
        <v>Normal</v>
      </c>
    </row>
    <row r="691" spans="1:16" x14ac:dyDescent="0.35">
      <c r="A691">
        <v>1107</v>
      </c>
      <c r="B691">
        <v>6273</v>
      </c>
      <c r="C691">
        <v>4920</v>
      </c>
      <c r="D691">
        <v>1353</v>
      </c>
      <c r="E691" s="1">
        <v>41821</v>
      </c>
      <c r="F691">
        <v>7</v>
      </c>
      <c r="G691" s="2" t="s">
        <v>14</v>
      </c>
      <c r="H691">
        <v>2014</v>
      </c>
      <c r="I691">
        <v>6027</v>
      </c>
      <c r="J691">
        <v>0</v>
      </c>
      <c r="K691">
        <f t="shared" si="58"/>
        <v>-0.69047179457432917</v>
      </c>
      <c r="L691" t="str">
        <f t="shared" si="59"/>
        <v>Normal</v>
      </c>
      <c r="M691">
        <f t="shared" si="60"/>
        <v>0</v>
      </c>
      <c r="N691" s="2" t="str">
        <f t="shared" si="61"/>
        <v>Normal</v>
      </c>
      <c r="O691" s="2">
        <f t="shared" si="62"/>
        <v>0</v>
      </c>
      <c r="P691" s="2" t="str">
        <f t="shared" si="63"/>
        <v>Normal</v>
      </c>
    </row>
    <row r="692" spans="1:16" x14ac:dyDescent="0.35">
      <c r="A692">
        <v>801</v>
      </c>
      <c r="B692">
        <v>4539</v>
      </c>
      <c r="C692">
        <v>2670</v>
      </c>
      <c r="D692">
        <v>1869</v>
      </c>
      <c r="E692" s="1">
        <v>41548</v>
      </c>
      <c r="F692">
        <v>10</v>
      </c>
      <c r="G692" s="2" t="s">
        <v>17</v>
      </c>
      <c r="H692">
        <v>2013</v>
      </c>
      <c r="I692">
        <v>3471</v>
      </c>
      <c r="J692">
        <v>0</v>
      </c>
      <c r="K692">
        <f t="shared" si="58"/>
        <v>-0.69780194570749665</v>
      </c>
      <c r="L692" t="str">
        <f t="shared" si="59"/>
        <v>Normal</v>
      </c>
      <c r="M692">
        <f t="shared" si="60"/>
        <v>0</v>
      </c>
      <c r="N692" s="2" t="str">
        <f t="shared" si="61"/>
        <v>Normal</v>
      </c>
      <c r="O692" s="2">
        <f t="shared" si="62"/>
        <v>0</v>
      </c>
      <c r="P692" s="2" t="str">
        <f t="shared" si="63"/>
        <v>Normal</v>
      </c>
    </row>
    <row r="693" spans="1:16" x14ac:dyDescent="0.35">
      <c r="A693">
        <v>2643.75</v>
      </c>
      <c r="B693">
        <v>14981.25</v>
      </c>
      <c r="C693">
        <v>11750</v>
      </c>
      <c r="D693">
        <v>3231.25</v>
      </c>
      <c r="E693" s="1">
        <v>41913</v>
      </c>
      <c r="F693">
        <v>10</v>
      </c>
      <c r="G693" s="2" t="s">
        <v>17</v>
      </c>
      <c r="H693">
        <v>2014</v>
      </c>
      <c r="I693">
        <v>14393.75</v>
      </c>
      <c r="J693">
        <v>0</v>
      </c>
      <c r="K693">
        <f t="shared" si="58"/>
        <v>-0.65365934439820161</v>
      </c>
      <c r="L693" t="str">
        <f t="shared" si="59"/>
        <v>Normal</v>
      </c>
      <c r="M693">
        <f t="shared" si="60"/>
        <v>0</v>
      </c>
      <c r="N693" s="2" t="str">
        <f t="shared" si="61"/>
        <v>Normal</v>
      </c>
      <c r="O693" s="2">
        <f t="shared" si="62"/>
        <v>0</v>
      </c>
      <c r="P693" s="2" t="str">
        <f t="shared" si="63"/>
        <v>Normal</v>
      </c>
    </row>
    <row r="694" spans="1:16" x14ac:dyDescent="0.35">
      <c r="A694">
        <v>55387.5</v>
      </c>
      <c r="B694">
        <v>313862.5</v>
      </c>
      <c r="C694">
        <v>354480</v>
      </c>
      <c r="D694">
        <v>-40617.5</v>
      </c>
      <c r="E694" s="1">
        <v>41579</v>
      </c>
      <c r="F694">
        <v>11</v>
      </c>
      <c r="G694" s="2" t="s">
        <v>19</v>
      </c>
      <c r="H694">
        <v>2013</v>
      </c>
      <c r="I694">
        <v>409867.5</v>
      </c>
      <c r="J694">
        <v>0</v>
      </c>
      <c r="K694">
        <f t="shared" si="58"/>
        <v>0.6098035929547394</v>
      </c>
      <c r="L694" t="str">
        <f t="shared" si="59"/>
        <v>Normal</v>
      </c>
      <c r="M694">
        <f t="shared" si="60"/>
        <v>0</v>
      </c>
      <c r="N694" s="2" t="str">
        <f t="shared" si="61"/>
        <v>Normal</v>
      </c>
      <c r="O694" s="2">
        <f t="shared" si="62"/>
        <v>0</v>
      </c>
      <c r="P694" s="2" t="str">
        <f t="shared" si="63"/>
        <v>Normal</v>
      </c>
    </row>
    <row r="695" spans="1:16" x14ac:dyDescent="0.35">
      <c r="A695">
        <v>10350</v>
      </c>
      <c r="B695">
        <v>58650</v>
      </c>
      <c r="C695">
        <v>66240</v>
      </c>
      <c r="D695">
        <v>-7590</v>
      </c>
      <c r="E695" s="1">
        <v>41944</v>
      </c>
      <c r="F695">
        <v>11</v>
      </c>
      <c r="G695" s="2" t="s">
        <v>19</v>
      </c>
      <c r="H695">
        <v>2014</v>
      </c>
      <c r="I695">
        <v>76590</v>
      </c>
      <c r="J695">
        <v>0</v>
      </c>
      <c r="K695">
        <f t="shared" si="58"/>
        <v>-0.46905811181659518</v>
      </c>
      <c r="L695" t="str">
        <f t="shared" si="59"/>
        <v>Normal</v>
      </c>
      <c r="M695">
        <f t="shared" si="60"/>
        <v>0</v>
      </c>
      <c r="N695" s="2" t="str">
        <f t="shared" si="61"/>
        <v>Normal</v>
      </c>
      <c r="O695" s="2">
        <f t="shared" si="62"/>
        <v>0</v>
      </c>
      <c r="P695" s="2" t="str">
        <f t="shared" si="63"/>
        <v>Normal</v>
      </c>
    </row>
    <row r="696" spans="1:16" x14ac:dyDescent="0.35">
      <c r="A696">
        <v>879</v>
      </c>
      <c r="B696">
        <v>4981</v>
      </c>
      <c r="C696">
        <v>2930</v>
      </c>
      <c r="D696">
        <v>2051</v>
      </c>
      <c r="E696" s="1">
        <v>41974</v>
      </c>
      <c r="F696">
        <v>12</v>
      </c>
      <c r="G696" s="2" t="s">
        <v>12</v>
      </c>
      <c r="H696">
        <v>2014</v>
      </c>
      <c r="I696">
        <v>3809</v>
      </c>
      <c r="J696">
        <v>0</v>
      </c>
      <c r="K696">
        <f t="shared" si="58"/>
        <v>-0.69593347581080689</v>
      </c>
      <c r="L696" t="str">
        <f t="shared" si="59"/>
        <v>Normal</v>
      </c>
      <c r="M696">
        <f t="shared" si="60"/>
        <v>0</v>
      </c>
      <c r="N696" s="2" t="str">
        <f t="shared" si="61"/>
        <v>Normal</v>
      </c>
      <c r="O696" s="2">
        <f t="shared" si="62"/>
        <v>0</v>
      </c>
      <c r="P696" s="2" t="str">
        <f t="shared" si="63"/>
        <v>Normal</v>
      </c>
    </row>
    <row r="697" spans="1:16" x14ac:dyDescent="0.35">
      <c r="A697">
        <v>111375</v>
      </c>
      <c r="B697">
        <v>631125</v>
      </c>
      <c r="C697">
        <v>618750</v>
      </c>
      <c r="D697">
        <v>12375</v>
      </c>
      <c r="E697" s="1">
        <v>41699</v>
      </c>
      <c r="F697">
        <v>3</v>
      </c>
      <c r="G697" s="2" t="s">
        <v>13</v>
      </c>
      <c r="H697">
        <v>2014</v>
      </c>
      <c r="I697">
        <v>730125</v>
      </c>
      <c r="J697">
        <v>0</v>
      </c>
      <c r="K697">
        <f t="shared" si="58"/>
        <v>1.9509697255305949</v>
      </c>
      <c r="L697" t="str">
        <f t="shared" si="59"/>
        <v>Normal</v>
      </c>
      <c r="M697">
        <f t="shared" si="60"/>
        <v>0</v>
      </c>
      <c r="N697" s="2" t="str">
        <f t="shared" si="61"/>
        <v>Normal</v>
      </c>
      <c r="O697" s="2">
        <f t="shared" si="62"/>
        <v>0</v>
      </c>
      <c r="P697" s="2" t="str">
        <f t="shared" si="63"/>
        <v>Normal</v>
      </c>
    </row>
    <row r="698" spans="1:16" x14ac:dyDescent="0.35">
      <c r="A698">
        <v>24570</v>
      </c>
      <c r="B698">
        <v>139230</v>
      </c>
      <c r="C698">
        <v>136500</v>
      </c>
      <c r="D698">
        <v>2730</v>
      </c>
      <c r="E698" s="1">
        <v>41913</v>
      </c>
      <c r="F698">
        <v>10</v>
      </c>
      <c r="G698" s="2" t="s">
        <v>17</v>
      </c>
      <c r="H698">
        <v>2014</v>
      </c>
      <c r="I698">
        <v>161070</v>
      </c>
      <c r="J698">
        <v>0</v>
      </c>
      <c r="K698">
        <f t="shared" si="58"/>
        <v>-0.12842167680469671</v>
      </c>
      <c r="L698" t="str">
        <f t="shared" si="59"/>
        <v>Normal</v>
      </c>
      <c r="M698">
        <f t="shared" si="60"/>
        <v>0</v>
      </c>
      <c r="N698" s="2" t="str">
        <f t="shared" si="61"/>
        <v>Normal</v>
      </c>
      <c r="O698" s="2">
        <f t="shared" si="62"/>
        <v>0</v>
      </c>
      <c r="P698" s="2" t="str">
        <f t="shared" si="63"/>
        <v>Normal</v>
      </c>
    </row>
    <row r="699" spans="1:16" x14ac:dyDescent="0.35">
      <c r="A699">
        <v>1436.4</v>
      </c>
      <c r="B699">
        <v>8139.6</v>
      </c>
      <c r="C699">
        <v>6840</v>
      </c>
      <c r="D699">
        <v>1299.6000000000004</v>
      </c>
      <c r="E699" s="1">
        <v>41671</v>
      </c>
      <c r="F699">
        <v>2</v>
      </c>
      <c r="G699" s="2" t="s">
        <v>18</v>
      </c>
      <c r="H699">
        <v>2014</v>
      </c>
      <c r="I699">
        <v>8276.4</v>
      </c>
      <c r="J699">
        <v>0</v>
      </c>
      <c r="K699">
        <f t="shared" si="58"/>
        <v>-0.68258110247215487</v>
      </c>
      <c r="L699" t="str">
        <f t="shared" si="59"/>
        <v>Normal</v>
      </c>
      <c r="M699">
        <f t="shared" si="60"/>
        <v>0</v>
      </c>
      <c r="N699" s="2" t="str">
        <f t="shared" si="61"/>
        <v>Normal</v>
      </c>
      <c r="O699" s="2">
        <f t="shared" si="62"/>
        <v>0</v>
      </c>
      <c r="P699" s="2" t="str">
        <f t="shared" si="63"/>
        <v>Normal</v>
      </c>
    </row>
    <row r="700" spans="1:16" x14ac:dyDescent="0.35">
      <c r="A700">
        <v>759.15000000000009</v>
      </c>
      <c r="B700">
        <v>4301.8500000000004</v>
      </c>
      <c r="C700">
        <v>3615</v>
      </c>
      <c r="D700">
        <v>686.85000000000014</v>
      </c>
      <c r="E700" s="1">
        <v>41730</v>
      </c>
      <c r="F700">
        <v>4</v>
      </c>
      <c r="G700" s="2" t="s">
        <v>20</v>
      </c>
      <c r="H700">
        <v>2014</v>
      </c>
      <c r="I700">
        <v>4374.1499999999996</v>
      </c>
      <c r="J700">
        <v>0</v>
      </c>
      <c r="K700">
        <f t="shared" si="58"/>
        <v>-0.69880445167129746</v>
      </c>
      <c r="L700" t="str">
        <f t="shared" si="59"/>
        <v>Normal</v>
      </c>
      <c r="M700">
        <f t="shared" si="60"/>
        <v>0</v>
      </c>
      <c r="N700" s="2" t="str">
        <f t="shared" si="61"/>
        <v>Normal</v>
      </c>
      <c r="O700" s="2">
        <f t="shared" si="62"/>
        <v>0</v>
      </c>
      <c r="P700" s="2" t="str">
        <f t="shared" si="63"/>
        <v>Normal</v>
      </c>
    </row>
    <row r="701" spans="1:16" x14ac:dyDescent="0.35">
      <c r="A701">
        <v>3250.8</v>
      </c>
      <c r="B701">
        <v>18421.2</v>
      </c>
      <c r="C701">
        <v>5418</v>
      </c>
      <c r="D701">
        <v>13003.2</v>
      </c>
      <c r="E701" s="1">
        <v>41760</v>
      </c>
      <c r="F701">
        <v>5</v>
      </c>
      <c r="G701" s="2" t="s">
        <v>21</v>
      </c>
      <c r="H701">
        <v>2014</v>
      </c>
      <c r="I701">
        <v>8668.7999999999993</v>
      </c>
      <c r="J701">
        <v>0</v>
      </c>
      <c r="K701">
        <f t="shared" si="58"/>
        <v>-0.6391176181060797</v>
      </c>
      <c r="L701" t="str">
        <f t="shared" si="59"/>
        <v>Normal</v>
      </c>
      <c r="M701">
        <f t="shared" si="60"/>
        <v>0</v>
      </c>
      <c r="N701" s="2" t="str">
        <f t="shared" si="61"/>
        <v>Normal</v>
      </c>
      <c r="O701" s="2">
        <f t="shared" si="62"/>
        <v>0</v>
      </c>
      <c r="P701" s="2" t="str">
        <f t="shared" si="63"/>
        <v>Normal</v>
      </c>
    </row>
  </sheetData>
  <conditionalFormatting sqref="L2:P701 L1:O1">
    <cfRule type="containsText" dxfId="1" priority="1" operator="containsText" text="Anomaly">
      <formula>NOT(ISERROR(SEARCH("Anomaly",L1)))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0C9-513F-485D-8290-D2F933FFEFA0}">
  <dimension ref="A1:E20"/>
  <sheetViews>
    <sheetView workbookViewId="0">
      <selection activeCell="G28" sqref="G28"/>
    </sheetView>
  </sheetViews>
  <sheetFormatPr defaultRowHeight="14.5" x14ac:dyDescent="0.35"/>
  <cols>
    <col min="1" max="1" width="12.36328125" bestFit="1" customWidth="1"/>
    <col min="2" max="2" width="16.1796875" bestFit="1" customWidth="1"/>
    <col min="3" max="3" width="11.7265625" bestFit="1" customWidth="1"/>
    <col min="4" max="4" width="21.81640625" bestFit="1" customWidth="1"/>
    <col min="5" max="5" width="20.26953125" bestFit="1" customWidth="1"/>
  </cols>
  <sheetData>
    <row r="1" spans="1:5" x14ac:dyDescent="0.35">
      <c r="A1" s="5" t="s">
        <v>7</v>
      </c>
      <c r="B1" s="5" t="s">
        <v>5</v>
      </c>
      <c r="C1" t="s">
        <v>22</v>
      </c>
      <c r="D1" t="s">
        <v>26</v>
      </c>
      <c r="E1" t="s">
        <v>23</v>
      </c>
    </row>
    <row r="2" spans="1:5" x14ac:dyDescent="0.35">
      <c r="A2">
        <v>2013</v>
      </c>
      <c r="B2">
        <v>9</v>
      </c>
      <c r="C2" s="6">
        <v>4484000.03</v>
      </c>
      <c r="D2" s="6">
        <v>0</v>
      </c>
      <c r="E2" s="6">
        <v>3966132.9700000007</v>
      </c>
    </row>
    <row r="3" spans="1:5" x14ac:dyDescent="0.35">
      <c r="B3">
        <v>10</v>
      </c>
      <c r="C3" s="6">
        <v>9295611.0999999959</v>
      </c>
      <c r="D3" s="6">
        <v>0</v>
      </c>
      <c r="E3" s="6">
        <v>8170892.9000000013</v>
      </c>
    </row>
    <row r="4" spans="1:5" x14ac:dyDescent="0.35">
      <c r="B4">
        <v>11</v>
      </c>
      <c r="C4" s="6">
        <v>7267203.2999999998</v>
      </c>
      <c r="D4" s="6">
        <v>0</v>
      </c>
      <c r="E4" s="6">
        <v>7401835.7000000002</v>
      </c>
    </row>
    <row r="5" spans="1:5" x14ac:dyDescent="0.35">
      <c r="B5">
        <v>12</v>
      </c>
      <c r="C5" s="6">
        <v>5368441.08</v>
      </c>
      <c r="D5" s="6">
        <v>0</v>
      </c>
      <c r="E5" s="6">
        <v>5143460.92</v>
      </c>
    </row>
    <row r="6" spans="1:5" x14ac:dyDescent="0.35">
      <c r="A6" t="s">
        <v>27</v>
      </c>
      <c r="C6" s="6">
        <v>26415255.509999998</v>
      </c>
      <c r="D6" s="6">
        <v>0</v>
      </c>
      <c r="E6" s="6">
        <v>24682322.490000002</v>
      </c>
    </row>
    <row r="7" spans="1:5" x14ac:dyDescent="0.35">
      <c r="A7">
        <v>2014</v>
      </c>
      <c r="B7">
        <v>1</v>
      </c>
      <c r="C7" s="6">
        <v>6607761.6800000006</v>
      </c>
      <c r="D7" s="6">
        <v>0</v>
      </c>
      <c r="E7" s="6">
        <v>6493374.8199999994</v>
      </c>
    </row>
    <row r="8" spans="1:5" x14ac:dyDescent="0.35">
      <c r="B8">
        <v>2</v>
      </c>
      <c r="C8" s="6">
        <v>7297531.3900000006</v>
      </c>
      <c r="D8" s="6">
        <v>0</v>
      </c>
      <c r="E8" s="6">
        <v>6550653.6099999994</v>
      </c>
    </row>
    <row r="9" spans="1:5" x14ac:dyDescent="0.35">
      <c r="B9">
        <v>3</v>
      </c>
      <c r="C9" s="6">
        <v>5586859.8699999992</v>
      </c>
      <c r="D9" s="6">
        <v>0</v>
      </c>
      <c r="E9" s="6">
        <v>5454159.1299999999</v>
      </c>
    </row>
    <row r="10" spans="1:5" x14ac:dyDescent="0.35">
      <c r="B10">
        <v>4</v>
      </c>
      <c r="C10" s="6">
        <v>6964775.0700000003</v>
      </c>
      <c r="D10" s="6">
        <v>0</v>
      </c>
      <c r="E10" s="6">
        <v>6499407.9299999997</v>
      </c>
    </row>
    <row r="11" spans="1:5" x14ac:dyDescent="0.35">
      <c r="B11">
        <v>5</v>
      </c>
      <c r="C11" s="6">
        <v>6210211.0600000005</v>
      </c>
      <c r="D11" s="6">
        <v>0</v>
      </c>
      <c r="E11" s="6">
        <v>5939270.9399999995</v>
      </c>
    </row>
    <row r="12" spans="1:5" x14ac:dyDescent="0.35">
      <c r="B12">
        <v>6</v>
      </c>
      <c r="C12" s="6">
        <v>9518893.8199999966</v>
      </c>
      <c r="D12" s="6">
        <v>0</v>
      </c>
      <c r="E12" s="6">
        <v>8795218.1800000034</v>
      </c>
    </row>
    <row r="13" spans="1:5" x14ac:dyDescent="0.35">
      <c r="B13">
        <v>7</v>
      </c>
      <c r="C13" s="6">
        <v>8102920.1800000016</v>
      </c>
      <c r="D13" s="6">
        <v>0</v>
      </c>
      <c r="E13" s="6">
        <v>7909161.8199999984</v>
      </c>
    </row>
    <row r="14" spans="1:5" x14ac:dyDescent="0.35">
      <c r="B14">
        <v>8</v>
      </c>
      <c r="C14" s="6">
        <v>5864622.4199999999</v>
      </c>
      <c r="D14" s="6">
        <v>0</v>
      </c>
      <c r="E14" s="6">
        <v>5534892.5800000001</v>
      </c>
    </row>
    <row r="15" spans="1:5" x14ac:dyDescent="0.35">
      <c r="B15">
        <v>9</v>
      </c>
      <c r="C15" s="6">
        <v>6398697.2400000002</v>
      </c>
      <c r="D15" s="6">
        <v>0</v>
      </c>
      <c r="E15" s="6">
        <v>5822184.7599999998</v>
      </c>
    </row>
    <row r="16" spans="1:5" x14ac:dyDescent="0.35">
      <c r="B16">
        <v>10</v>
      </c>
      <c r="C16" s="6">
        <v>12375819.919999994</v>
      </c>
      <c r="D16" s="6">
        <v>0</v>
      </c>
      <c r="E16" s="6">
        <v>11531438.080000004</v>
      </c>
    </row>
    <row r="17" spans="1:5" x14ac:dyDescent="0.35">
      <c r="B17">
        <v>11</v>
      </c>
      <c r="C17" s="6">
        <v>5384214.2000000002</v>
      </c>
      <c r="D17" s="6">
        <v>0</v>
      </c>
      <c r="E17" s="6">
        <v>5343309.8</v>
      </c>
    </row>
    <row r="18" spans="1:5" x14ac:dyDescent="0.35">
      <c r="B18">
        <v>12</v>
      </c>
      <c r="C18" s="6">
        <v>11998787.900000002</v>
      </c>
      <c r="D18" s="6">
        <v>0</v>
      </c>
      <c r="E18" s="6">
        <v>10482502.099999998</v>
      </c>
    </row>
    <row r="19" spans="1:5" x14ac:dyDescent="0.35">
      <c r="A19" t="s">
        <v>28</v>
      </c>
      <c r="C19" s="6">
        <v>92311094.750000015</v>
      </c>
      <c r="D19" s="6">
        <v>0</v>
      </c>
      <c r="E19" s="6">
        <v>86355573.749999985</v>
      </c>
    </row>
    <row r="20" spans="1:5" x14ac:dyDescent="0.35">
      <c r="A20" t="s">
        <v>24</v>
      </c>
      <c r="C20" s="6">
        <v>118726350.26000001</v>
      </c>
      <c r="D20" s="6">
        <v>0</v>
      </c>
      <c r="E20" s="6">
        <v>111037896.23999999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28F34-BA26-47C0-A587-BBBD76E762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Sheet8</vt:lpstr>
      <vt:lpstr>financials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kotha8776@outlook.com</dc:creator>
  <cp:lastModifiedBy>kotha8776@outlook.com</cp:lastModifiedBy>
  <dcterms:created xsi:type="dcterms:W3CDTF">2026-01-21T13:32:51Z</dcterms:created>
  <dcterms:modified xsi:type="dcterms:W3CDTF">2026-01-21T18:19:16Z</dcterms:modified>
</cp:coreProperties>
</file>